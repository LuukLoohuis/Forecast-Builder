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Samenvatting" sheetId="1" state="visible" r:id="rId3"/>
    <sheet name="2 Bronnen" sheetId="2" state="visible" r:id="rId4"/>
    <sheet name="3 Producten en tarieven" sheetId="3" state="visible" r:id="rId5"/>
    <sheet name="4 Bijkomende kosten" sheetId="4" state="visible" r:id="rId6"/>
    <sheet name="5 Dekking-termijn-obligo" sheetId="5" state="visible" r:id="rId7"/>
    <sheet name="6 Rekenvoorbeelden" sheetId="6" state="visible" r:id="rId8"/>
    <sheet name="7 Ontbrekend en vragen" sheetId="7" state="visible" r:id="rId9"/>
    <sheet name="8 Checklist" sheetId="8" state="visible" r:id="rId10"/>
  </sheets>
  <definedNames>
    <definedName function="false" hidden="true" localSheetId="0" name="_xlnm._FilterDatabase" vbProcedure="false">'1 Samenvatting'!$B$17:$I$26</definedName>
    <definedName function="false" hidden="true" localSheetId="1" name="_xlnm._FilterDatabase" vbProcedure="false">'2 Bronnen'!$B$21:$N$31</definedName>
    <definedName function="false" hidden="true" localSheetId="2" name="_xlnm._FilterDatabase" vbProcedure="false">'3 Producten en tarieven'!$B$5:$T$27</definedName>
    <definedName function="false" hidden="true" localSheetId="3" name="_xlnm._FilterDatabase" vbProcedure="false">'4 Bijkomende kosten'!$B$5:$M$28</definedName>
    <definedName function="false" hidden="true" localSheetId="4" name="_xlnm._FilterDatabase" vbProcedure="false">'5 Dekking-termijn-obligo'!$B$5:$F$14</definedName>
    <definedName function="false" hidden="true" localSheetId="6" name="_xlnm._FilterDatabase" vbProcedure="false">'7 Ontbrekend en vragen'!$B$5:$F$25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<sst xmlns="http://schemas.openxmlformats.org/spreadsheetml/2006/main" count="1362" uniqueCount="731">
  <si>
    <t xml:space="preserve">HEIJMANS  |  VASTGOED</t>
  </si>
  <si>
    <t xml:space="preserve">SWK vs. Woningborg  |  Tarieven- en dekkingsanalyse Heijmans Vastgoed</t>
  </si>
  <si>
    <t xml:space="preserve">Peildatum 22-10-2026  ·  Statuslabels: vergelijkbaar / indicatief / niet vergelijkbaar  ·  Bron-ID's verwijzen naar tabblad '2 Bronnen'</t>
  </si>
  <si>
    <t xml:space="preserve">MANAGEMENTSAMENVATTING</t>
  </si>
  <si>
    <t xml:space="preserve">Conclusie</t>
  </si>
  <si>
    <t xml:space="preserve">Er is op dit moment géén definitieve prijsconclusie mogelijk. Voor geen enkele productcategorie zijn er officiële SWK- en Woningborg-tarieven uit hetzelfde jaar. Woningborg: officiële tariefbrief 2027 voor Heijmans Vastgoed B.V. (B1). SWK: alleen een intern Heijmans-rekenmodel '2026' zonder bronvermelding (B2). Een officiële SWK-tariefbrief is niet aangetroffen.</t>
  </si>
  <si>
    <t xml:space="preserve">Wel vergelijkbaar qua functie</t>
  </si>
  <si>
    <t xml:space="preserve">Particuliere nieuwbouw (koper krijgt insolventie- én herstelwaarborg): SWK Garantie- en waarborgregeling 2024 ↔ Woningborg GWR Nieuwbouw 2024. Status: INDICATIEF. Redenen: ander tariefjaar (2026 vs 2027), SWK-tarief uit intern model, andere grondslag (SWK: aanneemsom; WB 'met grond': koop- én aanneemsom), en andere dekking (insolventie SWK max 100% vs WB max 60% van de aanneemsom; beide via zoekresultaat, te verifiëren).</t>
  </si>
  <si>
    <t xml:space="preserve">Indicatieve uitkomst</t>
  </si>
  <si>
    <t xml:space="preserve">Rekenvoorbeeld 1 (zelfgekozen invoer, zie tab 6): bij verkoop met grond is Woningborg circa € 184 per woning lager excl. btw. Bij verkoop zonder grond zijn ze nagenoeg gelijk (SWK circa € 8 lager). De SWK-bureaukosten van € 750 per woning wegen daarbij zwaar. Het verschil hangt sterk af van de grondprijs, omdat Woningborg 'met grond' over de grond meerekent en SWK niet. Btw over de SWK-provisie is niet vastgesteld, dus een totaal incl. btw voor SWK ontbreekt.</t>
  </si>
  <si>
    <t xml:space="preserve">Niet vergelijkbaar</t>
  </si>
  <si>
    <t xml:space="preserve">Kavelbouw, zakelijk (alleen insolventie én insolventie + herstel), transformatie (particulier en zakelijk) en houtbouw: voor SWK is geen tarief aangetroffen. Een SWK-tarief 'alleen afbouw' mag niet worden afgeleid door Sectie II weg te laten uit het volledige pakket.</t>
  </si>
  <si>
    <t xml:space="preserve">Hoogbouw</t>
  </si>
  <si>
    <t xml:space="preserve">Woningborg: hoger tarief 'vanaf 13 lagen boven straatpeil' (B1 p.3/5). SWK-rekenmodel: opslag 30,3% over Sectie II bij '&gt; 13 bouwlagen' (B2). Dat is een afwijkende grens: 13 lagen valt bij WB wél, bij SWK niet onder hoogbouw. Deze grens is in officiële SWK-bronnen niet aangetroffen. SWK-documenten noemen hoogbouw alleen als technisch risico bij circa 70 meter (O3). Laat de grens en de telwijze schriftelijk bevestigen.</t>
  </si>
  <si>
    <t xml:space="preserve">Btw</t>
  </si>
  <si>
    <t xml:space="preserve">Woningborg: 'Over alle tarieven wordt btw in rekening gebracht' (B1 p.6), zonder percentage. SWK: niet aangetroffen. Btw is daarom apart gepresenteerd en niet als 0% behandeld. Of de btw aftrekbaar is, is niet onderbouwd en dus niet aangenomen.</t>
  </si>
  <si>
    <t xml:space="preserve">Correctie eerdere modellen</t>
  </si>
  <si>
    <t xml:space="preserve">Het eerder gemaakte vergelijkingstemplate zette de btw over de SWK-provisie op 0% en nam de SWK-hoogbouwgrens (&gt; 13 lagen) over uit het interne model. Beide zijn niet bevestigd. Het template mag pas voor besluitvorming worden gebruikt nadat de vragen op tab 7 zijn beantwoord.</t>
  </si>
  <si>
    <t xml:space="preserve">Eerste acties</t>
  </si>
  <si>
    <t xml:space="preserve">1) Officiële SWK-tariefbrief 2027 voor Heijmans Vastgoed opvragen (incl. zakelijk, afbouw, transformatie, kavelbouw, houtbouw, bijdragen). 2) Btw over de SWK-provisie laten bevestigen. 3) Hoogbouwgrens en telwijze bij beide partijen schriftelijk vastleggen. 4) Obligo per project bij beide financieel screeners opvragen.</t>
  </si>
  <si>
    <t xml:space="preserve">Beperking onderzoek</t>
  </si>
  <si>
    <t xml:space="preserve">De netwerkinstellingen van deze cloudomgeving blokkeerden swk.nl, cms.swk.nl en woningborg.nl. Officiële online regelingen zijn daarom alleen via zoekmachine-uittreksels gecontroleerd (bronstatus 'via zoekresultaat'). Artikelnummers en pagina's van die bronnen zijn daardoor niet vastgesteld en moeten in de PDF worden nagelezen. De twee bijgevoegde documenten zijn wel volledig gelezen.</t>
  </si>
  <si>
    <t xml:space="preserve">STATUS PER VERGELIJKING</t>
  </si>
  <si>
    <t xml:space="preserve">Categorie</t>
  </si>
  <si>
    <t xml:space="preserve">SWK</t>
  </si>
  <si>
    <t xml:space="preserve">Woningborg</t>
  </si>
  <si>
    <t xml:space="preserve">Status</t>
  </si>
  <si>
    <t xml:space="preserve">Reden</t>
  </si>
  <si>
    <t xml:space="preserve">Particuliere nieuwbouw met grond</t>
  </si>
  <si>
    <t xml:space="preserve">SWK-1</t>
  </si>
  <si>
    <t xml:space="preserve">WB-1</t>
  </si>
  <si>
    <t xml:space="preserve">indicatief</t>
  </si>
  <si>
    <t xml:space="preserve">Jaar 2026 vs 2027; SWK uit intern model; grondslag en insolventiedekking verschillen</t>
  </si>
  <si>
    <t xml:space="preserve">Particuliere nieuwbouw zonder grond</t>
  </si>
  <si>
    <t xml:space="preserve">SWK-2</t>
  </si>
  <si>
    <t xml:space="preserve">WB-3</t>
  </si>
  <si>
    <t xml:space="preserve">Zelfde grondslag (aanneemsom incl. btw), maar jaar, bron en dekking verschillen</t>
  </si>
  <si>
    <t xml:space="preserve">Hoogbouw particulier</t>
  </si>
  <si>
    <t xml:space="preserve">SWK-3</t>
  </si>
  <si>
    <t xml:space="preserve">WB-2 / WB-4</t>
  </si>
  <si>
    <t xml:space="preserve">Grens verschilt (WB ≥ 13 lagen, SWK &gt; 13 bouwlagen intern); telwijze onbekend</t>
  </si>
  <si>
    <t xml:space="preserve">Kavelbouw</t>
  </si>
  <si>
    <t xml:space="preserve">SWK-4</t>
  </si>
  <si>
    <t xml:space="preserve">WB-5</t>
  </si>
  <si>
    <t xml:space="preserve">niet vergelijkbaar</t>
  </si>
  <si>
    <t xml:space="preserve">SWK-tarief niet aangetroffen</t>
  </si>
  <si>
    <t xml:space="preserve">Zakelijk – alleen insolventie/afbouw</t>
  </si>
  <si>
    <t xml:space="preserve">SWK-5</t>
  </si>
  <si>
    <t xml:space="preserve">WB-9 / WB-10</t>
  </si>
  <si>
    <t xml:space="preserve">SWK-tarief niet aangetroffen; dekking verschilt (SWK 20%, WB 30%)</t>
  </si>
  <si>
    <t xml:space="preserve">Zakelijk – insolventie + herstel</t>
  </si>
  <si>
    <t xml:space="preserve">SWK-6</t>
  </si>
  <si>
    <t xml:space="preserve">WB-7 / WB-8</t>
  </si>
  <si>
    <t xml:space="preserve">SWK-tarief en -grondslag zakelijk niet aangetroffen</t>
  </si>
  <si>
    <t xml:space="preserve">Transformatie particulier</t>
  </si>
  <si>
    <t xml:space="preserve">SWK-7</t>
  </si>
  <si>
    <t xml:space="preserve">WB-6</t>
  </si>
  <si>
    <t xml:space="preserve">Transformatie zakelijk</t>
  </si>
  <si>
    <t xml:space="preserve">SWK-8</t>
  </si>
  <si>
    <t xml:space="preserve">WB-11 / WB-12</t>
  </si>
  <si>
    <t xml:space="preserve">Houtbouw</t>
  </si>
  <si>
    <t xml:space="preserve">SWK-9</t>
  </si>
  <si>
    <t xml:space="preserve">WB-13</t>
  </si>
  <si>
    <t xml:space="preserve">Beide: projectofferte nodig</t>
  </si>
  <si>
    <t xml:space="preserve">Bronnenregister en afwijkingen</t>
  </si>
  <si>
    <t xml:space="preserve">Officiële en toepasselijke tariefinformatie gaat vóór interne modellen  ·  'Via zoekresultaat' = niet volledig nagelezen</t>
  </si>
  <si>
    <t xml:space="preserve">ID</t>
  </si>
  <si>
    <t xml:space="preserve">Document</t>
  </si>
  <si>
    <t xml:space="preserve">Aanbieder</t>
  </si>
  <si>
    <t xml:space="preserve">Soort bron</t>
  </si>
  <si>
    <t xml:space="preserve">Product</t>
  </si>
  <si>
    <t xml:space="preserve">Toepasselijke onderneming</t>
  </si>
  <si>
    <t xml:space="preserve">Tariefjaar</t>
  </si>
  <si>
    <t xml:space="preserve">Ingangsdatum</t>
  </si>
  <si>
    <t xml:space="preserve">Acceptatievoorwaarden</t>
  </si>
  <si>
    <t xml:space="preserve">Datum</t>
  </si>
  <si>
    <t xml:space="preserve">Vindplaats (pagina/cel/artikel)</t>
  </si>
  <si>
    <t xml:space="preserve">Link / bestand</t>
  </si>
  <si>
    <t xml:space="preserve">Bronstatus</t>
  </si>
  <si>
    <t xml:space="preserve">B1</t>
  </si>
  <si>
    <t xml:space="preserve">Tarieven 2027 (tariefbrief + bijlage 'Uw tarieven 2027 Woningborg Verzekeren')</t>
  </si>
  <si>
    <t xml:space="preserve">Woningborg N.V. / Woningborg Verzekeren</t>
  </si>
  <si>
    <t xml:space="preserve">Officiële tariefbrief (bedrijfsspecifiek)</t>
  </si>
  <si>
    <t xml:space="preserve">Certificaten Nieuwbouw Particulier, Kavelbouw, Transformatie Particulier, Zakelijk (nieuwbouw en transformatie)</t>
  </si>
  <si>
    <t xml:space="preserve">Heijmans Vastgoed B.V., inschrijfnr. 4889, concernnr. 2000335</t>
  </si>
  <si>
    <t xml:space="preserve">2027</t>
  </si>
  <si>
    <t xml:space="preserve">Plannen geaccepteerd op of na 1-1-2027 (p.1, p.6)</t>
  </si>
  <si>
    <t xml:space="preserve">Planacceptatie door Woningborg; transformatie: haalbaarheidsonderzoek, bouwplaatsbezoeken en geluidsmetingen (p.4)</t>
  </si>
  <si>
    <t xml:space="preserve">18-09-2026</t>
  </si>
  <si>
    <t xml:space="preserve">p.1–2 brief; p.3 particulier; p.4 transformatie + bijkomend; p.5 zakelijk; p.6 grondslag/btw/houtbouw/bijdragen/diensten</t>
  </si>
  <si>
    <t xml:space="preserve">Bijlage gebruiker: Tarief_2027_-_04889_-_2000335.pdf</t>
  </si>
  <si>
    <t xml:space="preserve">Volledig gelezen</t>
  </si>
  <si>
    <t xml:space="preserve">B2</t>
  </si>
  <si>
    <t xml:space="preserve">Rekenmodel 2026 – SWK Berekening Garantie- en Waarborgregeling (tabblad 'SWK berekening')</t>
  </si>
  <si>
    <t xml:space="preserve">Heijmans Vastgoed (intern); tarieven toegeschreven aan SWK</t>
  </si>
  <si>
    <t xml:space="preserve">Intern rekenmodel</t>
  </si>
  <si>
    <t xml:space="preserve">SWK Garantie- en waarborgregeling (volledig pakket)</t>
  </si>
  <si>
    <t xml:space="preserve">Niet vermeld</t>
  </si>
  <si>
    <t xml:space="preserve">2026 (alleen uit bestandsnaam)</t>
  </si>
  <si>
    <t xml:space="preserve">'Alleen plannen waarop de volledige GWR van toepassing is en geen separaat verkochte parkeerplaatsen' (A26–A27)</t>
  </si>
  <si>
    <t xml:space="preserve">Cellen B10–B18 (tarieven), E10–E16 (toelichting), A23–A27 (aandachtspunten)</t>
  </si>
  <si>
    <t xml:space="preserve">Bijlage gebruiker: Rekenmodel_2026_-_SWK_Berekening...xlsx</t>
  </si>
  <si>
    <t xml:space="preserve">Volledig gelezen; geen bron voor tarieven</t>
  </si>
  <si>
    <t xml:space="preserve">O1</t>
  </si>
  <si>
    <t xml:space="preserve">SWK Garantie- en waarborgregeling 2024</t>
  </si>
  <si>
    <t xml:space="preserve">Waarborgvoorwaarden</t>
  </si>
  <si>
    <t xml:space="preserve">GWR 2024 (insolventie- + herstelwaarborg)</t>
  </si>
  <si>
    <t xml:space="preserve">Algemeen</t>
  </si>
  <si>
    <t xml:space="preserve">n.v.t. (voorwaarden)</t>
  </si>
  <si>
    <t xml:space="preserve">Plannen onder GWR 2024</t>
  </si>
  <si>
    <t xml:space="preserve">Zie regeling</t>
  </si>
  <si>
    <t xml:space="preserve">02-2024</t>
  </si>
  <si>
    <t xml:space="preserve">Artikel/pagina niet vastgesteld</t>
  </si>
  <si>
    <t xml:space="preserve">https://cms.swk.nl/app/uploads/2024/02/SWK-Garantie-en-waarborgregeling-2024.pdf</t>
  </si>
  <si>
    <t xml:space="preserve">Via zoekresultaat</t>
  </si>
  <si>
    <t xml:space="preserve">O2</t>
  </si>
  <si>
    <t xml:space="preserve">SWK Waarborgregeling Afbouw 2024</t>
  </si>
  <si>
    <t xml:space="preserve">Alleen afbouwwaarborg, zakelijke opdrachtgever</t>
  </si>
  <si>
    <t xml:space="preserve">n.v.t.</t>
  </si>
  <si>
    <t xml:space="preserve">Niet vastgesteld</t>
  </si>
  <si>
    <t xml:space="preserve">https://cms.swk.nl/app/uploads/2024/02/SWK-Waarborgregeling-Afbouw-2024.pdf</t>
  </si>
  <si>
    <t xml:space="preserve">O3</t>
  </si>
  <si>
    <t xml:space="preserve">Toelichting op planaanmelding (versies 01-01-2024 en 01-03-2025)</t>
  </si>
  <si>
    <t xml:space="preserve">Toelichting / procedure</t>
  </si>
  <si>
    <t xml:space="preserve">Planaanmelding GWR</t>
  </si>
  <si>
    <t xml:space="preserve">2024/2025</t>
  </si>
  <si>
    <t xml:space="preserve">Technisch bureau verplicht bij hoogbouw (~70 m), transformatie, renovatie, innovatieve bouw</t>
  </si>
  <si>
    <t xml:space="preserve">01-03-2025</t>
  </si>
  <si>
    <t xml:space="preserve">https://cms.swk.nl/app/uploads/2025/03/25-03-01-Toelichting-Planaanmelding-2025.pdf</t>
  </si>
  <si>
    <t xml:space="preserve">O4</t>
  </si>
  <si>
    <t xml:space="preserve">Toelichting op opbouw aanneemsom 2025</t>
  </si>
  <si>
    <t xml:space="preserve">Toelichting / definitie</t>
  </si>
  <si>
    <t xml:space="preserve">Definitie aanneemsom; eerste termijn</t>
  </si>
  <si>
    <t xml:space="preserve">2025</t>
  </si>
  <si>
    <t xml:space="preserve">Aanneemsom = bouwkosten + bijkomende kosten; bedragen incl. btw</t>
  </si>
  <si>
    <t xml:space="preserve">https://cms.swk.nl/app/uploads/2025/03/25-03-01-Toelichting-op-opbouw-aanneemsom-2025.pdf</t>
  </si>
  <si>
    <t xml:space="preserve">O5</t>
  </si>
  <si>
    <t xml:space="preserve">Standaard termijnregeling 2024 (EGH en APP)</t>
  </si>
  <si>
    <t xml:space="preserve">Termijnregeling</t>
  </si>
  <si>
    <t xml:space="preserve">Termijnschema's</t>
  </si>
  <si>
    <t xml:space="preserve">2024</t>
  </si>
  <si>
    <t xml:space="preserve">—</t>
  </si>
  <si>
    <t xml:space="preserve">01-01-2024</t>
  </si>
  <si>
    <t xml:space="preserve">Niet gelezen</t>
  </si>
  <si>
    <t xml:space="preserve">https://cms.swk.nl/app/uploads/2023/11/24-01-01-Standaard-termijnregeling-2024-EGH.pdf</t>
  </si>
  <si>
    <t xml:space="preserve">Alleen vindplaats</t>
  </si>
  <si>
    <t xml:space="preserve">O6</t>
  </si>
  <si>
    <t xml:space="preserve">Productpagina's Huurwoningen / Zakelijk vastgoed</t>
  </si>
  <si>
    <t xml:space="preserve">Productinformatie</t>
  </si>
  <si>
    <t xml:space="preserve">Zakelijk: keuze afbouw óf afbouw + herstel</t>
  </si>
  <si>
    <t xml:space="preserve">https://swk.nl/producten/huurwoningen/</t>
  </si>
  <si>
    <t xml:space="preserve">O7</t>
  </si>
  <si>
    <t xml:space="preserve">Woningborg Garantie- en waarborgregeling Nieuwbouw 2024 (met bijlage 01-01-2026)</t>
  </si>
  <si>
    <t xml:space="preserve">GWRN 2024</t>
  </si>
  <si>
    <t xml:space="preserve">Plannen aangemeld vanaf 1-1-2024</t>
  </si>
  <si>
    <t xml:space="preserve">01-01-2026 (bijlage)</t>
  </si>
  <si>
    <t xml:space="preserve">https://www.woningborg.nl/media/dn5jf1zf/gwrn-2024-met-bijlage-01-01-2026.pdf</t>
  </si>
  <si>
    <t xml:space="preserve">O8</t>
  </si>
  <si>
    <t xml:space="preserve">Woningborg Garantie- en waarborgregeling Transformatie 2024</t>
  </si>
  <si>
    <t xml:space="preserve">GWR Transformatie 2024</t>
  </si>
  <si>
    <t xml:space="preserve">Plannen vanaf 1-1-2024</t>
  </si>
  <si>
    <t xml:space="preserve">https://www.woningborg.nl/media/hc0igtte/wb-garantie-en-waarborg-transformatie-2024-incl-bijlage-a.pdf</t>
  </si>
  <si>
    <t xml:space="preserve">O9</t>
  </si>
  <si>
    <t xml:space="preserve">Woningborg zakelijk certificaat – brochure opdrachtgevers (2025) en productpagina zakelijke regeling</t>
  </si>
  <si>
    <t xml:space="preserve">Zakelijk certificaat</t>
  </si>
  <si>
    <t xml:space="preserve">https://www.woningborg.nl/media/cgrlt3ae/wb_brochure-zakelijk-certificaat_opdrachtgevers-edit-2025.pdf</t>
  </si>
  <si>
    <t xml:space="preserve">O10</t>
  </si>
  <si>
    <t xml:space="preserve">Woningborg model-(koop-)aannemingsovereenkomsten 2026 en FAQ 'De overeenkomst'</t>
  </si>
  <si>
    <t xml:space="preserve">Modelovereenkomst / FAQ</t>
  </si>
  <si>
    <t xml:space="preserve">2026</t>
  </si>
  <si>
    <t xml:space="preserve">Alleen volledig gepresteerde termijnen; standaardtermijnregelingen via portaal</t>
  </si>
  <si>
    <t xml:space="preserve">01-01-2026</t>
  </si>
  <si>
    <t xml:space="preserve">https://www.woningborg.nl/kennisbank/veelgestelde-vragen-de-overeenkomst</t>
  </si>
  <si>
    <t xml:space="preserve">O11</t>
  </si>
  <si>
    <t xml:space="preserve">Woningborg FAQ 'Het Woningborg-portaal' en kennisbank 'Opleveren onder de zakelijke waarborgregeling'</t>
  </si>
  <si>
    <t xml:space="preserve">FAQ</t>
  </si>
  <si>
    <t xml:space="preserve">Obligo</t>
  </si>
  <si>
    <t xml:space="preserve">https://www.woningborg.nl/kennisbank/veelgestelde-vragen-het-woningborg-portaal</t>
  </si>
  <si>
    <t xml:space="preserve">AFWIJKINGEN TUSSEN BRONNEN</t>
  </si>
  <si>
    <t xml:space="preserve">Nr.</t>
  </si>
  <si>
    <t xml:space="preserve">Onderwerp</t>
  </si>
  <si>
    <t xml:space="preserve">Bron A</t>
  </si>
  <si>
    <t xml:space="preserve">Bron B</t>
  </si>
  <si>
    <t xml:space="preserve">Afwijking</t>
  </si>
  <si>
    <t xml:space="preserve">Voorrang / gevolg</t>
  </si>
  <si>
    <t xml:space="preserve">A1</t>
  </si>
  <si>
    <t xml:space="preserve">B1: 2027</t>
  </si>
  <si>
    <t xml:space="preserve">B2: 2026</t>
  </si>
  <si>
    <t xml:space="preserve">Geen SWK-tarief 2027 beschikbaar</t>
  </si>
  <si>
    <t xml:space="preserve">Vergelijking hooguit indicatief; jaarverschil tonen</t>
  </si>
  <si>
    <t xml:space="preserve">A2</t>
  </si>
  <si>
    <t xml:space="preserve">Status SWK-tarieven</t>
  </si>
  <si>
    <t xml:space="preserve">B2 (intern)</t>
  </si>
  <si>
    <t xml:space="preserve">Geen officiële SWK-tariefbrief</t>
  </si>
  <si>
    <t xml:space="preserve">Tarieven in B2 zijn niet herleidbaar tot een SWK-document</t>
  </si>
  <si>
    <t xml:space="preserve">Schriftelijke bevestiging nodig</t>
  </si>
  <si>
    <t xml:space="preserve">A3</t>
  </si>
  <si>
    <t xml:space="preserve">Hoogbouwgrens</t>
  </si>
  <si>
    <t xml:space="preserve">B1: 'vanaf 13 lagen boven straatpeil'</t>
  </si>
  <si>
    <t xml:space="preserve">B2: '&gt; 13 bouwlagen'; O3: ~70 m (technisch)</t>
  </si>
  <si>
    <t xml:space="preserve">13 lagen = hoogbouw bij WB, niet bij SWK (B2); 'bouwlagen' en 'lagen boven straatpeil' zijn mogelijk niet gelijk geteld</t>
  </si>
  <si>
    <t xml:space="preserve">Per aanbieder apart toepassen; SWK-grens laten bevestigen</t>
  </si>
  <si>
    <t xml:space="preserve">A4</t>
  </si>
  <si>
    <t xml:space="preserve">Grondslag particulier</t>
  </si>
  <si>
    <t xml:space="preserve">B1: (koop-/)aanneemsom incl. meer-/minderwerk en btw; 'met grond' = incl. grond</t>
  </si>
  <si>
    <t xml:space="preserve">B2/O4: aanneemsom incl. btw = bouwkosten + bijkomende kosten (grond apart)</t>
  </si>
  <si>
    <t xml:space="preserve">WB rekent bij 'met grond' over de grond; SWK niet. Meer-/minderwerk bij SWK niet vermeld</t>
  </si>
  <si>
    <t xml:space="preserve">Grondslag per aanbieder apart berekenen</t>
  </si>
  <si>
    <t xml:space="preserve">A5</t>
  </si>
  <si>
    <t xml:space="preserve">Btw over kosten</t>
  </si>
  <si>
    <t xml:space="preserve">B1 p.6: btw over alle tarieven</t>
  </si>
  <si>
    <t xml:space="preserve">B2/SWK-bronnen: niets vermeld</t>
  </si>
  <si>
    <t xml:space="preserve">Onbekend of SWK btw rekent</t>
  </si>
  <si>
    <t xml:space="preserve">Btw apart tonen; SWK-btw = schriftelijke bevestiging nodig (niet 0%)</t>
  </si>
  <si>
    <t xml:space="preserve">A6</t>
  </si>
  <si>
    <t xml:space="preserve">Insolventiedekking particulier</t>
  </si>
  <si>
    <t xml:space="preserve">O1: SWK max 100% aanneemsom</t>
  </si>
  <si>
    <t xml:space="preserve">O7: WB max 60% aanneemsom (2020: 100%)</t>
  </si>
  <si>
    <t xml:space="preserve">Dekkingsverschil voor de koper</t>
  </si>
  <si>
    <t xml:space="preserve">Benoemen als resterend dekkingsverschil; nooit als premie gebruiken</t>
  </si>
  <si>
    <t xml:space="preserve">A7</t>
  </si>
  <si>
    <t xml:space="preserve">Herstelwaarborg-maxima</t>
  </si>
  <si>
    <t xml:space="preserve">O1: € 140.000 / € 21.000 / € 119.000 × n (prijspeil 2024)</t>
  </si>
  <si>
    <t xml:space="preserve">O7: € 159.368 / € 24.629 / € 134.739 × n</t>
  </si>
  <si>
    <t xml:space="preserve">Verschillende bedragen en mogelijk verschillend prijspeil</t>
  </si>
  <si>
    <t xml:space="preserve">Prijspeil per bedrag laten bevestigen</t>
  </si>
  <si>
    <t xml:space="preserve">A8</t>
  </si>
  <si>
    <t xml:space="preserve">Zakelijke afbouwdekking</t>
  </si>
  <si>
    <t xml:space="preserve">O2: SWK Afbouw 20% aanneemsom</t>
  </si>
  <si>
    <t xml:space="preserve">O9: WB zakelijk insolventie tot 30%</t>
  </si>
  <si>
    <t xml:space="preserve">Dekking verschilt; SWK-tarief ontbreekt</t>
  </si>
  <si>
    <t xml:space="preserve">A9</t>
  </si>
  <si>
    <t xml:space="preserve">Sectie I 'over 20% van de aanneemsom'</t>
  </si>
  <si>
    <t xml:space="preserve">O2 (afbouwdekking 20%)</t>
  </si>
  <si>
    <t xml:space="preserve">Mogelijk verband, niet aangetoond</t>
  </si>
  <si>
    <t xml:space="preserve">20% niet als dekkings- of obligopercentage gebruiken</t>
  </si>
  <si>
    <t xml:space="preserve">A10</t>
  </si>
  <si>
    <t xml:space="preserve">Eerder vergelijkingstemplate (deze sessie)</t>
  </si>
  <si>
    <t xml:space="preserve">Template: SWK-btw 0%, hoogbouw via lagen &gt; 13</t>
  </si>
  <si>
    <t xml:space="preserve">Deze analyse</t>
  </si>
  <si>
    <t xml:space="preserve">Aannames niet onderbouwd</t>
  </si>
  <si>
    <t xml:space="preserve">Template corrigeren na beantwoording vragen (tab 7)</t>
  </si>
  <si>
    <t xml:space="preserve">Product- en tarievenmatrix</t>
  </si>
  <si>
    <t xml:space="preserve">Ontbrekend tarief ≠ 0  ·  Effectief SWK-tarief = 20% × 0,5198% + 0,0380% = 0,14196% van de aanneemsom incl. btw (exclusief opslagen en vaste kosten)</t>
  </si>
  <si>
    <t xml:space="preserve">Doelgroep</t>
  </si>
  <si>
    <t xml:space="preserve">Projecttype</t>
  </si>
  <si>
    <t xml:space="preserve">Dekking</t>
  </si>
  <si>
    <t xml:space="preserve">Dekkingslimiet</t>
  </si>
  <si>
    <t xml:space="preserve">Tarief</t>
  </si>
  <si>
    <t xml:space="preserve">Eenheid (%/‰/€)</t>
  </si>
  <si>
    <t xml:space="preserve">Berekeningsgrondslag</t>
  </si>
  <si>
    <t xml:space="preserve">Grond inbegrepen?</t>
  </si>
  <si>
    <t xml:space="preserve">Btw in grondslag?</t>
  </si>
  <si>
    <t xml:space="preserve">Btw over kosten?</t>
  </si>
  <si>
    <t xml:space="preserve">Vaste/variabele kosten</t>
  </si>
  <si>
    <t xml:space="preserve">Opslagen</t>
  </si>
  <si>
    <t xml:space="preserve">Uitsluitingen/voorwaarden</t>
  </si>
  <si>
    <t xml:space="preserve">Bron</t>
  </si>
  <si>
    <t xml:space="preserve">Vergelijkbaar met</t>
  </si>
  <si>
    <t xml:space="preserve">Woningborg-certificaat Nieuwbouw Particulier (GWRN 2024)</t>
  </si>
  <si>
    <t xml:space="preserve">Particuliere verkrijger</t>
  </si>
  <si>
    <t xml:space="preserve">Nieuwbouw EGW/appartementen tot 13 lagen boven straatpeil; verkoop met grond</t>
  </si>
  <si>
    <t xml:space="preserve">Insolventie- + herstelwaarborg</t>
  </si>
  <si>
    <t xml:space="preserve">Insolventie max 60% aanneemsom (O7); herstel max € 159.368 incl. btw per huis; app.: privé € 24.629, gemeensch. € 134.739 × aantal privédelen; eigen risico koper € 321 (O7)</t>
  </si>
  <si>
    <t xml:space="preserve">0,227%</t>
  </si>
  <si>
    <t xml:space="preserve">%</t>
  </si>
  <si>
    <t xml:space="preserve">Koop- en aanneemsom incl. grond, incl. meer-/minderwerk en btw (B1 p.3, p.6)</t>
  </si>
  <si>
    <t xml:space="preserve">Ja</t>
  </si>
  <si>
    <t xml:space="preserve">Ja – 'Over alle tarieven wordt btw in rekening gebracht' (B1 p.6); percentage niet vermeld</t>
  </si>
  <si>
    <t xml:space="preserve">Variabel</t>
  </si>
  <si>
    <t xml:space="preserve">Geen; hoogbouw = apart tarief (WB-2)</t>
  </si>
  <si>
    <t xml:space="preserve">Plannen geaccepteerd op/na 1-1-2027; erfpacht met afgekochte canon = 'met grond'</t>
  </si>
  <si>
    <t xml:space="preserve">B1 p.3, p.6; O7</t>
  </si>
  <si>
    <t xml:space="preserve">SWK-1 – indicatief</t>
  </si>
  <si>
    <t xml:space="preserve">WB-2</t>
  </si>
  <si>
    <t xml:space="preserve">Idem, hoogbouw</t>
  </si>
  <si>
    <t xml:space="preserve">Vanaf 13 lagen boven straatpeil; verkoop met grond</t>
  </si>
  <si>
    <t xml:space="preserve">0,250%</t>
  </si>
  <si>
    <t xml:space="preserve">Hogere tarief vervangt basistarief (+5% t.o.v. 2026, B1 p.1)</t>
  </si>
  <si>
    <t xml:space="preserve">Grens 'vanaf 13 lagen boven straatpeil'; telwijze verder niet gedefinieerd</t>
  </si>
  <si>
    <t xml:space="preserve">B1 p.1, p.3</t>
  </si>
  <si>
    <t xml:space="preserve">SWK-3 – indicatief</t>
  </si>
  <si>
    <t xml:space="preserve">Woningborg-certificaat Nieuwbouw Particulier</t>
  </si>
  <si>
    <t xml:space="preserve">Tot 13 lagen; verkoop zonder grond</t>
  </si>
  <si>
    <t xml:space="preserve">0,321%</t>
  </si>
  <si>
    <t xml:space="preserve">Aanneemsom incl. meer-/minderwerk en btw (B1 p.3, p.6)</t>
  </si>
  <si>
    <t xml:space="preserve">Nee</t>
  </si>
  <si>
    <t xml:space="preserve">Geen</t>
  </si>
  <si>
    <t xml:space="preserve">'Zonder grond' = grond door derde verkocht of erfpacht zonder afkoop canon</t>
  </si>
  <si>
    <t xml:space="preserve">B1 p.3</t>
  </si>
  <si>
    <t xml:space="preserve">SWK-2 – indicatief</t>
  </si>
  <si>
    <t xml:space="preserve">WB-4</t>
  </si>
  <si>
    <t xml:space="preserve">Vanaf 13 lagen; verkoop zonder grond</t>
  </si>
  <si>
    <t xml:space="preserve">0,354%</t>
  </si>
  <si>
    <t xml:space="preserve">Hogere tarief vervangt basistarief</t>
  </si>
  <si>
    <t xml:space="preserve">Zie WB-2</t>
  </si>
  <si>
    <t xml:space="preserve">Woningborg-certificaat Kavelbouw</t>
  </si>
  <si>
    <t xml:space="preserve">Particuliere opdrachtgever</t>
  </si>
  <si>
    <t xml:space="preserve">Insolventie- + herstelwaarborg (aanname: GWRN 2024; te bevestigen)</t>
  </si>
  <si>
    <t xml:space="preserve">Schriftelijke bevestiging nodig (welke regeling/limieten voor kavelbouw)</t>
  </si>
  <si>
    <t xml:space="preserve">0,380%</t>
  </si>
  <si>
    <t xml:space="preserve">Geen hoogbouwonderscheid vermeld</t>
  </si>
  <si>
    <t xml:space="preserve">SWK-4 – niet vergelijkbaar</t>
  </si>
  <si>
    <t xml:space="preserve">Woningborg-certificaat Transformatie Particulier (GWR Transformatie 2024)</t>
  </si>
  <si>
    <t xml:space="preserve">Transformatie, met én zonder grond</t>
  </si>
  <si>
    <t xml:space="preserve">Insolventie- + herstelwaarborg; bestaand gebouw valt onder dekking</t>
  </si>
  <si>
    <t xml:space="preserve">Insolventie max 60% aanneemsom; herstel max € 107.766 per huis (O8)</t>
  </si>
  <si>
    <t xml:space="preserve">Koop- en aanneemsom incl. grond, meer-/minderwerk en btw – ook bij verkoop zonder grond (B1 p.4)</t>
  </si>
  <si>
    <t xml:space="preserve">Variabel + bijkomende kosten (bezoeken, metingen)</t>
  </si>
  <si>
    <t xml:space="preserve">Tarief –10% t.o.v. 2026 (B1 p.1)</t>
  </si>
  <si>
    <t xml:space="preserve">Haalbaarheidsonderzoek (kosten WB); acceptatie alleen met bouwplaatsbezoeken en geluidsmeting(en) (B1 p.4)</t>
  </si>
  <si>
    <t xml:space="preserve">B1 p.1, p.4; O8</t>
  </si>
  <si>
    <t xml:space="preserve">SWK-7 – niet vergelijkbaar</t>
  </si>
  <si>
    <t xml:space="preserve">WB-7</t>
  </si>
  <si>
    <t xml:space="preserve">Woningborg-certificaat Zakelijk – module insolventie- en herstelwaarborg</t>
  </si>
  <si>
    <t xml:space="preserve">Zakelijke opdrachtgever</t>
  </si>
  <si>
    <t xml:space="preserve">Nieuwbouw tot 13 lagen (huur, onverkochte koop, evt. met kantoor/bedrijf/parkeren; ook renovatie)</t>
  </si>
  <si>
    <t xml:space="preserve">Insolventie + herstel</t>
  </si>
  <si>
    <t xml:space="preserve">Insolventie tot 30% van de aanneemsom; herstel tot max. 10 jaar (O9). Maximumbedrag herstel: niet aangetroffen</t>
  </si>
  <si>
    <t xml:space="preserve">0,568%</t>
  </si>
  <si>
    <t xml:space="preserve">Aanneemsom excl. btw (B1 p.6)</t>
  </si>
  <si>
    <t xml:space="preserve">Hoogbouw = WB-8</t>
  </si>
  <si>
    <t xml:space="preserve">Waarborgregeling Zakelijk</t>
  </si>
  <si>
    <t xml:space="preserve">B1 p.5, p.6; O9</t>
  </si>
  <si>
    <t xml:space="preserve">SWK-6 – niet vergelijkbaar</t>
  </si>
  <si>
    <t xml:space="preserve">WB-8</t>
  </si>
  <si>
    <t xml:space="preserve">Idem</t>
  </si>
  <si>
    <t xml:space="preserve">Nieuwbouw vanaf 13 lagen</t>
  </si>
  <si>
    <t xml:space="preserve">0,757%</t>
  </si>
  <si>
    <t xml:space="preserve">Hogere tarief</t>
  </si>
  <si>
    <t xml:space="preserve">B1 p.5</t>
  </si>
  <si>
    <t xml:space="preserve">WB-9</t>
  </si>
  <si>
    <t xml:space="preserve">Woningborg-certificaat Zakelijk – module insolventiewaarborg</t>
  </si>
  <si>
    <t xml:space="preserve">Nieuwbouw tot 13 lagen</t>
  </si>
  <si>
    <t xml:space="preserve">Alleen insolventie</t>
  </si>
  <si>
    <t xml:space="preserve">Insolventie tot 30% aanneemsom (O9)</t>
  </si>
  <si>
    <t xml:space="preserve">0,343%</t>
  </si>
  <si>
    <t xml:space="preserve">Hoogbouw = WB-10</t>
  </si>
  <si>
    <t xml:space="preserve">B1 p.5; O9</t>
  </si>
  <si>
    <t xml:space="preserve">SWK-5 – niet vergelijkbaar</t>
  </si>
  <si>
    <t xml:space="preserve">WB-10</t>
  </si>
  <si>
    <t xml:space="preserve">0,458%</t>
  </si>
  <si>
    <t xml:space="preserve">WB-11</t>
  </si>
  <si>
    <t xml:space="preserve">Zakelijk Transformatie – insolventie + herstel</t>
  </si>
  <si>
    <t xml:space="preserve">Transformatie; bestaand gebouw valt WEL onder dekking</t>
  </si>
  <si>
    <t xml:space="preserve">Insolventie + herstel incl. bestaand gebouw</t>
  </si>
  <si>
    <t xml:space="preserve">0,903%</t>
  </si>
  <si>
    <t xml:space="preserve">Koop- en aanneemsom excl. btw (B1 p.5, p.6)</t>
  </si>
  <si>
    <t xml:space="preserve">Variabel + bijkomende kosten transformatie</t>
  </si>
  <si>
    <t xml:space="preserve">Geen lagenonderscheid vermeld</t>
  </si>
  <si>
    <t xml:space="preserve">Bijkomende kosten als Transformatie Particulier (B1 p.5)</t>
  </si>
  <si>
    <t xml:space="preserve">SWK-8 – niet vergelijkbaar</t>
  </si>
  <si>
    <t xml:space="preserve">WB-12</t>
  </si>
  <si>
    <t xml:space="preserve">Zakelijk Transformatie – alleen insolventie</t>
  </si>
  <si>
    <t xml:space="preserve">Transformatie; bestaand gebouw valt NIET onder dekking</t>
  </si>
  <si>
    <t xml:space="preserve">Insolventie tot 30% aanneemsom (O9; te bevestigen voor transformatie)</t>
  </si>
  <si>
    <t xml:space="preserve">Alle certificaten – houtbouw</t>
  </si>
  <si>
    <t xml:space="preserve">Alle</t>
  </si>
  <si>
    <t xml:space="preserve">Hoofddraagconstructie in hout (CLT, LVL, glulam)</t>
  </si>
  <si>
    <t xml:space="preserve">Als onderliggend certificaat</t>
  </si>
  <si>
    <t xml:space="preserve">Projectofferte nodig (verhoogd tarief mogelijk na technische beoordeling)</t>
  </si>
  <si>
    <t xml:space="preserve">Variabel + aanvullende bouwplaatsbezoeken (offerte)</t>
  </si>
  <si>
    <t xml:space="preserve">Mogelijk verhoogd tarief</t>
  </si>
  <si>
    <t xml:space="preserve">Aanvullende bouwplaatsbezoeken altijd nodig (B1 p.2, p.6)</t>
  </si>
  <si>
    <t xml:space="preserve">B1 p.2, p.6</t>
  </si>
  <si>
    <t xml:space="preserve">SWK-9 – niet vergelijkbaar</t>
  </si>
  <si>
    <t xml:space="preserve">SWK Garantie- en waarborgregeling 2024 (volledig pakket)</t>
  </si>
  <si>
    <t xml:space="preserve">Nieuwbouw EGW/appartementen; verkoop met grond</t>
  </si>
  <si>
    <t xml:space="preserve">Insolventie(afbouw)- + herstelwaarborg</t>
  </si>
  <si>
    <t xml:space="preserve">Insolventie max 100% aanneemsom (O1, te verifiëren); herstel max € 140.000 incl. btw per EGW; app.: privé € 21.000, gemeensch. € 119.000 × aantal privédelen (prijspeil 2024, geïndexeerd; O1)</t>
  </si>
  <si>
    <t xml:space="preserve">2026 (intern model B2)</t>
  </si>
  <si>
    <t xml:space="preserve">Sectie I 0,5198% over 20% van de aanneemsom + Sectie II 0,0380% over de aanneemsom (effectief 0,14196%) + € 750 bureaukosten per woning</t>
  </si>
  <si>
    <t xml:space="preserve">% + €</t>
  </si>
  <si>
    <t xml:space="preserve">Aanneemsom incl. btw (B2). Volgens O4: aanneemsom = bouwkosten + bijkomende kosten. Meer-/minderwerk: niet aangetroffen</t>
  </si>
  <si>
    <t xml:space="preserve">Nee (grond niet in aanneemsom volgens O4; bevestigen)</t>
  </si>
  <si>
    <t xml:space="preserve">Ja (B2)</t>
  </si>
  <si>
    <t xml:space="preserve">Variabel + vast per woning (voorschot)</t>
  </si>
  <si>
    <t xml:space="preserve">Hoogbouw, verlengde garantie zakelijk, bouwtijd &gt; 3 jaar (zie tab 4)</t>
  </si>
  <si>
    <t xml:space="preserve">Alleen volledige GWR; geen separaat verkochte parkeerplaatsen (B2 A26–27)</t>
  </si>
  <si>
    <t xml:space="preserve">B2; O1; O4</t>
  </si>
  <si>
    <t xml:space="preserve">WB-1 – indicatief</t>
  </si>
  <si>
    <t xml:space="preserve">Nieuwbouw; verkoop zonder grond</t>
  </si>
  <si>
    <t xml:space="preserve">Geen apart tarief aangetroffen; B2 maakt geen onderscheid met/zonder grond</t>
  </si>
  <si>
    <t xml:space="preserve">Aanneemsom incl. btw (B2)</t>
  </si>
  <si>
    <t xml:space="preserve">WB-3 – indicatief</t>
  </si>
  <si>
    <t xml:space="preserve">Idem – hoogbouw</t>
  </si>
  <si>
    <t xml:space="preserve">Opslag 30,3% over Sectie II bij '&gt; 13 bouwlagen' (B2); in officiële bronnen niet aangetroffen</t>
  </si>
  <si>
    <t xml:space="preserve">% van Sectie II</t>
  </si>
  <si>
    <t xml:space="preserve">Sectie II-bedrag</t>
  </si>
  <si>
    <t xml:space="preserve">30,3% over Sectie II</t>
  </si>
  <si>
    <t xml:space="preserve">Technisch bureau verplicht bij hoogbouw (~70 m), kosten deelnemer (O3); B2: technische beoordeling &gt; 25 bouwlagen</t>
  </si>
  <si>
    <t xml:space="preserve">B2; O3</t>
  </si>
  <si>
    <t xml:space="preserve">WB-2/WB-4 – indicatief</t>
  </si>
  <si>
    <t xml:space="preserve">Niet aangetroffen</t>
  </si>
  <si>
    <t xml:space="preserve">WB-5 – niet vergelijkbaar</t>
  </si>
  <si>
    <t xml:space="preserve">Nieuwbouw</t>
  </si>
  <si>
    <t xml:space="preserve">Alleen afbouwwaarborg</t>
  </si>
  <si>
    <t xml:space="preserve">Afbouw 20% van de aanneemsom; beroep binnen 6 maanden na oplevering; WKA max 10%, WAV max 5% (O2)</t>
  </si>
  <si>
    <t xml:space="preserve">Schriftelijke bevestiging nodig (tarief niet aangetroffen; niet afleiden uit Sectie I)</t>
  </si>
  <si>
    <t xml:space="preserve">Zie O2</t>
  </si>
  <si>
    <t xml:space="preserve">O2; O6</t>
  </si>
  <si>
    <t xml:space="preserve">WB-9/WB-10 – niet vergelijkbaar</t>
  </si>
  <si>
    <t xml:space="preserve">SWK Garantie- en waarborgregeling 2024 voor zakelijke opdrachtgever</t>
  </si>
  <si>
    <t xml:space="preserve">Nieuwbouw (huur/zakelijk)</t>
  </si>
  <si>
    <t xml:space="preserve">Afbouw + herstel</t>
  </si>
  <si>
    <t xml:space="preserve">Zie SWK-1 (te bevestigen voor zakelijk)</t>
  </si>
  <si>
    <t xml:space="preserve">Schriftelijke bevestiging nodig (B2 noemt alleen 'opslag verlengde garantie zakelijk' 10% over Sectie II; betekenis onduidelijk)</t>
  </si>
  <si>
    <t xml:space="preserve">Verlengde garantie zakelijk 10% over Sectie II (B2)</t>
  </si>
  <si>
    <t xml:space="preserve">O6; B2</t>
  </si>
  <si>
    <t xml:space="preserve">WB-7/WB-8 – niet vergelijkbaar</t>
  </si>
  <si>
    <t xml:space="preserve">SWK Garantie- en waarborgregeling 2024 – transformatie</t>
  </si>
  <si>
    <t xml:space="preserve">Transformatie</t>
  </si>
  <si>
    <t xml:space="preserve">Afbouw + herstel (GWR geldt ook voor transformatie, O3)</t>
  </si>
  <si>
    <t xml:space="preserve">Technisch bureau verplicht, kosten deelnemer (O3)</t>
  </si>
  <si>
    <t xml:space="preserve">WB-6 – niet vergelijkbaar</t>
  </si>
  <si>
    <t xml:space="preserve">WB-11/WB-12 – niet vergelijkbaar</t>
  </si>
  <si>
    <t xml:space="preserve">Projectofferte nodig</t>
  </si>
  <si>
    <t xml:space="preserve">Mogelijk 'innovatieve bouw' → technisch bureau (O3); niet bevestigd</t>
  </si>
  <si>
    <t xml:space="preserve">WB-13 – niet vergelijkbaar</t>
  </si>
  <si>
    <t xml:space="preserve">Matrix bijkomende kosten</t>
  </si>
  <si>
    <t xml:space="preserve">Vaste bijdragen op ondernemingsniveau niet aan één project toerekenen zonder verdeelsleutel  ·  Voorschot ≠ extra kosten bovenop werkelijke kosten</t>
  </si>
  <si>
    <t xml:space="preserve">Post</t>
  </si>
  <si>
    <t xml:space="preserve">Bedrag / tarief</t>
  </si>
  <si>
    <t xml:space="preserve">Eenheid</t>
  </si>
  <si>
    <t xml:space="preserve">Grondslag</t>
  </si>
  <si>
    <t xml:space="preserve">Btw-behandeling</t>
  </si>
  <si>
    <t xml:space="preserve">Toepassingsvoorwaarde</t>
  </si>
  <si>
    <t xml:space="preserve">Vast / variabel / eenmalig</t>
  </si>
  <si>
    <t xml:space="preserve">Dubbeltelling / opmerking</t>
  </si>
  <si>
    <t xml:space="preserve">K-WB1</t>
  </si>
  <si>
    <t xml:space="preserve">Bouwplaatsbezoek</t>
  </si>
  <si>
    <t xml:space="preserve">€ 1.041,00</t>
  </si>
  <si>
    <t xml:space="preserve">€ per bezoek</t>
  </si>
  <si>
    <t xml:space="preserve">Aantal bezoeken volgens offerte</t>
  </si>
  <si>
    <t xml:space="preserve">Excl. btw (B1 p.4)</t>
  </si>
  <si>
    <t xml:space="preserve">Transformatie (particulier en zakelijk); houtbouw (aanvullende bezoeken)</t>
  </si>
  <si>
    <t xml:space="preserve">Variabel (offerte)</t>
  </si>
  <si>
    <t xml:space="preserve">Rechtstreeks door WB gefactureerd; niet in premie inbegrepen</t>
  </si>
  <si>
    <t xml:space="preserve">B1 p.4, p.5, p.6</t>
  </si>
  <si>
    <t xml:space="preserve">Officieel</t>
  </si>
  <si>
    <t xml:space="preserve">K-WB2</t>
  </si>
  <si>
    <t xml:space="preserve">Geluidsmeting</t>
  </si>
  <si>
    <t xml:space="preserve">€ 911,00</t>
  </si>
  <si>
    <t xml:space="preserve">€ per meting</t>
  </si>
  <si>
    <t xml:space="preserve">Aantal metingen volgens offerte</t>
  </si>
  <si>
    <t xml:space="preserve">B1 p.4</t>
  </si>
  <si>
    <t xml:space="preserve">K-WB3</t>
  </si>
  <si>
    <t xml:space="preserve">Haalbaarheidsonderzoek transformatie (eerste opname)</t>
  </si>
  <si>
    <t xml:space="preserve">€ 0 voor Heijmans</t>
  </si>
  <si>
    <t xml:space="preserve">Expliciet 'voor rekening van Woningborg Verzekeren' (dus geen ontbrekend bedrag)</t>
  </si>
  <si>
    <t xml:space="preserve">K-WB4</t>
  </si>
  <si>
    <t xml:space="preserve">Jaarlijkse bijdrage</t>
  </si>
  <si>
    <t xml:space="preserve">€ 644,00</t>
  </si>
  <si>
    <t xml:space="preserve">€ per ingeschreven onderneming per jaar</t>
  </si>
  <si>
    <t xml:space="preserve">Onderneming</t>
  </si>
  <si>
    <t xml:space="preserve">Niet vermeld bij de post; p.6: btw over alle tarieven</t>
  </si>
  <si>
    <t xml:space="preserve">Elke ingeschreven onderneming</t>
  </si>
  <si>
    <t xml:space="preserve">Vast (bedrijfsniveau)</t>
  </si>
  <si>
    <t xml:space="preserve">Niet per project tellen; alleen via verdeelsleutel over projecten</t>
  </si>
  <si>
    <t xml:space="preserve">B1 p.6</t>
  </si>
  <si>
    <t xml:space="preserve">K-WB5</t>
  </si>
  <si>
    <t xml:space="preserve">Inschrijfgeld</t>
  </si>
  <si>
    <t xml:space="preserve">€ 4.018,00; binnen concern € 1.133,00 per extra inschrijving</t>
  </si>
  <si>
    <t xml:space="preserve">€ eenmalig per onderneming</t>
  </si>
  <si>
    <t xml:space="preserve">Nieuwe inschrijving (Heijmans Vastgoed is al ingeschreven: nr. 4889)</t>
  </si>
  <si>
    <t xml:space="preserve">Eenmalig</t>
  </si>
  <si>
    <t xml:space="preserve">Voor bestaand project waarschijnlijk n.v.t.</t>
  </si>
  <si>
    <t xml:space="preserve">K-WB6</t>
  </si>
  <si>
    <t xml:space="preserve">Opstellen depotovereenkomst</t>
  </si>
  <si>
    <t xml:space="preserve">€ 1.500,-</t>
  </si>
  <si>
    <t xml:space="preserve">€ eenmalig</t>
  </si>
  <si>
    <t xml:space="preserve">Per verzoek</t>
  </si>
  <si>
    <t xml:space="preserve">Niet vermeld; bevestigen</t>
  </si>
  <si>
    <t xml:space="preserve">Op verzoek</t>
  </si>
  <si>
    <t xml:space="preserve">K-WB7</t>
  </si>
  <si>
    <t xml:space="preserve">Opstellen afbouwverklaring</t>
  </si>
  <si>
    <t xml:space="preserve">€ 500,-</t>
  </si>
  <si>
    <t xml:space="preserve">K-WB8</t>
  </si>
  <si>
    <t xml:space="preserve">Laten vervallen van plan na risicobeoordeling</t>
  </si>
  <si>
    <t xml:space="preserve">€ 2.500,-</t>
  </si>
  <si>
    <t xml:space="preserve">Per plan</t>
  </si>
  <si>
    <t xml:space="preserve">Plan vervalt na risicobeoordeling</t>
  </si>
  <si>
    <t xml:space="preserve">K-WB9</t>
  </si>
  <si>
    <t xml:space="preserve">Verzoek planacceptatie bij &lt; 70% verkocht</t>
  </si>
  <si>
    <t xml:space="preserve">Voorverkoop onder 70%</t>
  </si>
  <si>
    <t xml:space="preserve">K-WB10</t>
  </si>
  <si>
    <t xml:space="preserve">Verzoek aanpassing standaard termijnregeling</t>
  </si>
  <si>
    <t xml:space="preserve">€ 1.250,-</t>
  </si>
  <si>
    <t xml:space="preserve">Afwijkende termijnregeling; facturatie pas als werk op bouwplaats gereed is</t>
  </si>
  <si>
    <t xml:space="preserve">K-WB11</t>
  </si>
  <si>
    <t xml:space="preserve">In tarief (WB-2, WB-4, WB-8, WB-10)</t>
  </si>
  <si>
    <t xml:space="preserve">Zie tarievenmatrix</t>
  </si>
  <si>
    <t xml:space="preserve">Btw over tarief</t>
  </si>
  <si>
    <t xml:space="preserve">Vanaf 13 lagen boven straatpeil</t>
  </si>
  <si>
    <t xml:space="preserve">Geen aparte opslag; niet dubbel tellen</t>
  </si>
  <si>
    <t xml:space="preserve">B1 p.3, p.5</t>
  </si>
  <si>
    <t xml:space="preserve">K-WB12</t>
  </si>
  <si>
    <t xml:space="preserve">Houtbouw – verhoogd tarief</t>
  </si>
  <si>
    <t xml:space="preserve">Hoofddraagconstructie in hout</t>
  </si>
  <si>
    <t xml:space="preserve">Na technische beoordeling</t>
  </si>
  <si>
    <t xml:space="preserve">K-WB13</t>
  </si>
  <si>
    <t xml:space="preserve">Bijzonder/aanvullend obligo, voorschotten, nacalculatie</t>
  </si>
  <si>
    <t xml:space="preserve">K-SWK1</t>
  </si>
  <si>
    <t xml:space="preserve">Bureaukosten</t>
  </si>
  <si>
    <t xml:space="preserve">€ 750</t>
  </si>
  <si>
    <t xml:space="preserve">€ per woning, 'voorschot'</t>
  </si>
  <si>
    <t xml:space="preserve">Aantal woningen</t>
  </si>
  <si>
    <t xml:space="preserve">Altijd (B2)</t>
  </si>
  <si>
    <t xml:space="preserve">Vast per woning (voorschot)</t>
  </si>
  <si>
    <t xml:space="preserve">Of er nacalculatie volgt, is niet bekend: tel werkelijke kosten niet óók bovenop het voorschot</t>
  </si>
  <si>
    <t xml:space="preserve">B2 B18</t>
  </si>
  <si>
    <t xml:space="preserve">Intern model</t>
  </si>
  <si>
    <t xml:space="preserve">K-SWK2</t>
  </si>
  <si>
    <t xml:space="preserve">Hoogbouwopslag</t>
  </si>
  <si>
    <t xml:space="preserve">30,3%</t>
  </si>
  <si>
    <t xml:space="preserve">% van Sectie II-provisie</t>
  </si>
  <si>
    <t xml:space="preserve">'&gt; 13 bouwlagen' (B2); telwijze niet aangetroffen</t>
  </si>
  <si>
    <t xml:space="preserve">Grens wijkt af van WB (≥ 13 lagen boven straatpeil)</t>
  </si>
  <si>
    <t xml:space="preserve">B2 B14/E14</t>
  </si>
  <si>
    <t xml:space="preserve">K-SWK3</t>
  </si>
  <si>
    <t xml:space="preserve">Opslag verlengde garantie zakelijk</t>
  </si>
  <si>
    <t xml:space="preserve">10%</t>
  </si>
  <si>
    <t xml:space="preserve">'Alleen bij zakelijke opdrachtgever' (B2); inhoud verlengde garantie niet aangetroffen</t>
  </si>
  <si>
    <t xml:space="preserve">B2 B15/E15</t>
  </si>
  <si>
    <t xml:space="preserve">K-SWK4</t>
  </si>
  <si>
    <t xml:space="preserve">Opslag lange bouwtijd</t>
  </si>
  <si>
    <t xml:space="preserve">% van Sectie I</t>
  </si>
  <si>
    <t xml:space="preserve">Sectie I-bedrag</t>
  </si>
  <si>
    <t xml:space="preserve">Prognose bouwtijd &gt; 3 jaar, start bouw tot 1e oplevering (B2)</t>
  </si>
  <si>
    <t xml:space="preserve">B2 B16/E16</t>
  </si>
  <si>
    <t xml:space="preserve">K-SWK5</t>
  </si>
  <si>
    <t xml:space="preserve">Technische beoordeling / technisch bureau</t>
  </si>
  <si>
    <t xml:space="preserve">Hoogbouw (~70 m), transformatie, renovatie, innovatieve bouw (O3); B2: transformatie of &gt; 25 bouwlagen</t>
  </si>
  <si>
    <t xml:space="preserve">Kosten voor deelnemer (O3)</t>
  </si>
  <si>
    <t xml:space="preserve">O3; B2 A23</t>
  </si>
  <si>
    <t xml:space="preserve">K-SWK6</t>
  </si>
  <si>
    <t xml:space="preserve">Beoordeling afwijkende termijnregeling</t>
  </si>
  <si>
    <t xml:space="preserve">Afwijkende termijnregeling (B2 A24)</t>
  </si>
  <si>
    <t xml:space="preserve">B2 noemt het als aandachtspunt zonder bedrag</t>
  </si>
  <si>
    <t xml:space="preserve">B2 A24</t>
  </si>
  <si>
    <t xml:space="preserve">K-SWK7</t>
  </si>
  <si>
    <t xml:space="preserve">Deelnemersbijdrage / jaarlijkse bijdrage / inschrijfgeld</t>
  </si>
  <si>
    <t xml:space="preserve">K-SWK8</t>
  </si>
  <si>
    <t xml:space="preserve">Depotovereenkomst, afbouwverklaring, vervallen plan, planacceptatie &lt; x% verkocht</t>
  </si>
  <si>
    <t xml:space="preserve">K-SWK9</t>
  </si>
  <si>
    <t xml:space="preserve">Bijzonder/aanvullend obligo, nacalculatie</t>
  </si>
  <si>
    <t xml:space="preserve">K-X1</t>
  </si>
  <si>
    <t xml:space="preserve">Beide</t>
  </si>
  <si>
    <t xml:space="preserve">Inspectiekosten / eigen risico koper</t>
  </si>
  <si>
    <t xml:space="preserve">SWK € 115 incl. btw (O1); WB eigen risico € 321 incl. btw (O7)</t>
  </si>
  <si>
    <t xml:space="preserve">€</t>
  </si>
  <si>
    <t xml:space="preserve">Incl. btw</t>
  </si>
  <si>
    <t xml:space="preserve">Kosten tussen koper en ondernemer/waarborg; géén certificaatkosten voor Heijmans</t>
  </si>
  <si>
    <t xml:space="preserve">Niet meetellen in certificaatkosten</t>
  </si>
  <si>
    <t xml:space="preserve">O1; O7</t>
  </si>
  <si>
    <t xml:space="preserve">Vier onderdelen apart: kosten · dekking · termijnregeling · obligo</t>
  </si>
  <si>
    <t xml:space="preserve">Een obligo- of dekkingspercentage is nooit een premiepercentage</t>
  </si>
  <si>
    <t xml:space="preserve">Onderdeel</t>
  </si>
  <si>
    <t xml:space="preserve">Vraag</t>
  </si>
  <si>
    <t xml:space="preserve">Beoordeling</t>
  </si>
  <si>
    <t xml:space="preserve">1. Certificaatkosten</t>
  </si>
  <si>
    <t xml:space="preserve">Wat betaalt Heijmans?</t>
  </si>
  <si>
    <t xml:space="preserve">Provisie/premie + opslagen + bureaukosten; zie tabs 3 en 4. Bron: intern model 2026 (B2); btw onbekend</t>
  </si>
  <si>
    <t xml:space="preserve">Premie = tarief × grondslag; zie tabs 3 en 4. Bron: officiële brief 2027 (B1); btw wordt gerekend</t>
  </si>
  <si>
    <t xml:space="preserve">Indicatief (jaar/bron)</t>
  </si>
  <si>
    <t xml:space="preserve">2. Garantiedekking – insolventie particulier</t>
  </si>
  <si>
    <t xml:space="preserve">Wat krijgt de koper bij insolventie vóór oplevering?</t>
  </si>
  <si>
    <t xml:space="preserve">Max 100% van de aanneemsom; SWK kiest tussen afbouw en terugbetaling betaalde termijnen + rente (O1, via zoekresultaat)</t>
  </si>
  <si>
    <t xml:space="preserve">Max 60% van de aanneemsom (2020: 100%); WB kiest de voor WB gunstigste optie; uitkering kan lager zijn dan 60% (O7, via zoekresultaat)</t>
  </si>
  <si>
    <t xml:space="preserve">Dekkingsverschil – benoemen</t>
  </si>
  <si>
    <t xml:space="preserve">2. Garantiedekking – herstel particulier</t>
  </si>
  <si>
    <t xml:space="preserve">Gebreken na oplevering</t>
  </si>
  <si>
    <t xml:space="preserve">Max € 140.000 incl. btw per EGW; € 21.000 privédeel; € 119.000 × aantal privédelen gemeensch. (prijspeil 2024, jaarlijks geïndexeerd) (O1)</t>
  </si>
  <si>
    <t xml:space="preserve">Max € 159.368 incl. btw per huis; € 24.629 privédeel; € 134.739 × aantal gemeensch.; CPI-indexatie; bedragen vast bij afgifte certificaat; eigen risico € 321 (O7)</t>
  </si>
  <si>
    <t xml:space="preserve">2. Garantiedekking – termijnen</t>
  </si>
  <si>
    <t xml:space="preserve">Duur</t>
  </si>
  <si>
    <t xml:space="preserve">6 jaar; ernstige gebreken 10 jaar; ingang 3 maanden na oplevering (O1-brochure)</t>
  </si>
  <si>
    <t xml:space="preserve">6 jaar; ernstige gebreken 10 jaar; ingang 3 maanden na oplevering (O7)</t>
  </si>
  <si>
    <t xml:space="preserve">Gelijk op hoofdlijnen</t>
  </si>
  <si>
    <t xml:space="preserve">2. Garantiedekking – zakelijk</t>
  </si>
  <si>
    <t xml:space="preserve">Opdrachtgever</t>
  </si>
  <si>
    <t xml:space="preserve">Afbouw: 20% aanneemsom (O2). Afbouw + herstel: GWR 2024 (O6), limieten zakelijk niet aangetroffen</t>
  </si>
  <si>
    <t xml:space="preserve">Insolventie tot 30% aanneemsom; herstel tot max. 10 jaar (O9)</t>
  </si>
  <si>
    <t xml:space="preserve">2. Garantiedekking – transformatie</t>
  </si>
  <si>
    <t xml:space="preserve">Bestaand gebouw</t>
  </si>
  <si>
    <t xml:space="preserve">GWR 2024 geldt ook voor transformatie (O3); limieten niet aangetroffen</t>
  </si>
  <si>
    <t xml:space="preserve">Herstel max € 107.766 per huis; insolventie max 60% (O8); bestaand gebouw onder dekking (B1 p.4)</t>
  </si>
  <si>
    <t xml:space="preserve">3. Termijnregeling</t>
  </si>
  <si>
    <t xml:space="preserve">Wanneer mag Heijmans factureren?</t>
  </si>
  <si>
    <t xml:space="preserve">Standaard termijnregelingen 2024 EGH/APP (O5). Eerste termijn volgens staffel van reeds betaalde bijkomende kosten, exclusief winst, rente en risico; AK telt mee tot 1% bij KAO (O4)</t>
  </si>
  <si>
    <t xml:space="preserve">Standaardtermijnregelingen via portaal; alleen volledig gepresteerde termijnen; aanpassing € 1.250, facturatie pas als werk op bouwplaats gereed is (O10; B1 p.6)</t>
  </si>
  <si>
    <t xml:space="preserve">Apart beoordelen; geen kostenpost</t>
  </si>
  <si>
    <t xml:space="preserve">3. Termijnregeling – let op</t>
  </si>
  <si>
    <t xml:space="preserve">Afleidingen</t>
  </si>
  <si>
    <t xml:space="preserve">Woonlagen in een termijnschema zijn géén premie- of hoogbouwgrens</t>
  </si>
  <si>
    <t xml:space="preserve">4. Obligo</t>
  </si>
  <si>
    <t xml:space="preserve">Hoeveel waarborgcapaciteit neemt het project in?</t>
  </si>
  <si>
    <t xml:space="preserve">Niet aangetroffen (geen publieke informatie over obligo per project of per onderneming)</t>
  </si>
  <si>
    <t xml:space="preserve">Obligo per onderneming in portaal: huidig/toekomstig benodigd en uitstaand; vrijval na oplevering; vragen via financieel screener (O11). Omvang per project: niet aangetroffen</t>
  </si>
  <si>
    <t xml:space="preserve">Bij beide opvragen</t>
  </si>
  <si>
    <t xml:space="preserve">Rekenvoorbeelden (alleen functioneel vergelijkbare pakketten)</t>
  </si>
  <si>
    <t xml:space="preserve">GELE CELLEN = ZELFGEKOZEN VOORBEELDINVOER, geen projectgegevens  ·  Tarieven: Woningborg 2027 (B1), SWK 2026 (B2, intern)  ·  Status: INDICATIEF</t>
  </si>
  <si>
    <t xml:space="preserve">VOORBEELDINVOER (zelfgekozen – aanpassen)</t>
  </si>
  <si>
    <t xml:space="preserve">Aanneemsom per woning, excl. btw</t>
  </si>
  <si>
    <t xml:space="preserve">Koopsom grond per woning, excl. btw</t>
  </si>
  <si>
    <t xml:space="preserve">Btw-tarief op aanneemsom (voorbeeld)</t>
  </si>
  <si>
    <t xml:space="preserve">Btw-tarief op grond (voorbeeld; afhankelijk van levering)</t>
  </si>
  <si>
    <t xml:space="preserve">Btw over Woningborg-premie (percentage niet in B1; voorbeeld)</t>
  </si>
  <si>
    <t xml:space="preserve">Btw over SWK-provisie – SCENARIO (onbekend)</t>
  </si>
  <si>
    <t xml:space="preserve">Niet bevestigd: dit is een scenario, geen aanname. Zie vraag S-3.</t>
  </si>
  <si>
    <t xml:space="preserve">Aanneemsom incl. btw per woning</t>
  </si>
  <si>
    <t xml:space="preserve">Koop- en aanneemsom incl. btw per woning</t>
  </si>
  <si>
    <t xml:space="preserve">VOORBEELD 1 – Particuliere nieuwbouw MET grond, &lt; 13 lagen  (SWK-1 ↔ WB-1)</t>
  </si>
  <si>
    <t xml:space="preserve">Functie gelijk (insolventie + herstel voor de koper). Verschillen: tariefjaar 2026/2027, SWK-tarief intern, grondslag (WB incl. grond), insolventiedekking SWK 100% vs WB 60%, btw SWK onbekend.</t>
  </si>
  <si>
    <t xml:space="preserve">Per woning</t>
  </si>
  <si>
    <t xml:space="preserve">Verschil (WB − SWK)</t>
  </si>
  <si>
    <t xml:space="preserve">Berekening / bron</t>
  </si>
  <si>
    <t xml:space="preserve">SWK: aanneemsom incl. btw (B2) · WB: koop- en aanneemsom incl. btw (B1 p.3)</t>
  </si>
  <si>
    <t xml:space="preserve">Sectie I (0,5198% × 20% × aanneemsom incl. btw)</t>
  </si>
  <si>
    <t xml:space="preserve">B2 B10/C10</t>
  </si>
  <si>
    <t xml:space="preserve">Sectie II (0,0380% × aanneemsom incl. btw)</t>
  </si>
  <si>
    <t xml:space="preserve">B2 B12</t>
  </si>
  <si>
    <t xml:space="preserve">Opslagen SWK</t>
  </si>
  <si>
    <t xml:space="preserve">B2 B14–B16</t>
  </si>
  <si>
    <t xml:space="preserve">Premie Woningborg (tarief × grondslag)</t>
  </si>
  <si>
    <t xml:space="preserve">B1: 0,227%</t>
  </si>
  <si>
    <t xml:space="preserve">Bureaukosten SWK (voorschot)</t>
  </si>
  <si>
    <t xml:space="preserve">Totaal excl. btw</t>
  </si>
  <si>
    <t xml:space="preserve">SWK: schriftelijke bevestiging nodig · WB: B1 p.6</t>
  </si>
  <si>
    <t xml:space="preserve">Totaal incl. btw</t>
  </si>
  <si>
    <t xml:space="preserve">SWK incl. btw – SCENARIO bij btw volgens D12</t>
  </si>
  <si>
    <t xml:space="preserve">Scenario, geen feit</t>
  </si>
  <si>
    <t xml:space="preserve">Projecttotaal excl. btw (× aantal woningen)</t>
  </si>
  <si>
    <t xml:space="preserve">Bijdragen op ondernemingsniveau (K-WB4) niet meegeteld</t>
  </si>
  <si>
    <t xml:space="preserve">VOORBEELD 2 – Particuliere nieuwbouw ZONDER grond, &lt; 13 lagen  (SWK-2 ↔ WB-3)</t>
  </si>
  <si>
    <t xml:space="preserve">Grondslag gelijk (aanneemsom incl. btw). Overige verschillen als voorbeeld 1.</t>
  </si>
  <si>
    <t xml:space="preserve">SWK: aanneemsom incl. btw (B2) · WB: aanneemsom incl. btw (B1 p.3)</t>
  </si>
  <si>
    <t xml:space="preserve">B1: 0,321%</t>
  </si>
  <si>
    <t xml:space="preserve">VOORBEELD 3 – Hoogbouw MET grond, 14 lagen (beide hoogbouw)  (SWK-3 ↔ WB-2)</t>
  </si>
  <si>
    <t xml:space="preserve">Bij 14 lagen vallen beide onder hoogbouw. Bij precies 13 lagen: WB wel (≥ 13), SWK niet (&gt; 13; intern). Grens en telwijze SWK niet officieel bevestigd.</t>
  </si>
  <si>
    <t xml:space="preserve">B2 B14: 30,3% × Sectie II</t>
  </si>
  <si>
    <t xml:space="preserve">B1: 0,250%</t>
  </si>
  <si>
    <t xml:space="preserve">NIET BEREKEND – niet vergelijkbaar</t>
  </si>
  <si>
    <t xml:space="preserve">• Zakelijk alleen insolventie (WB-9: 0,343% × aanneemsom excl. btw) ↔ SWK Afbouw: SWK-tarief niet aangetroffen. SWK-tarief niet afleiden uit Sectie I.</t>
  </si>
  <si>
    <t xml:space="preserve">• Zakelijk insolventie + herstel (WB-7: 0,568%) ↔ SWK zakelijk: tarief niet aangetroffen.</t>
  </si>
  <si>
    <t xml:space="preserve">• Kavelbouw, transformatie, houtbouw: SWK-tarief niet aangetroffen / projectofferte nodig.</t>
  </si>
  <si>
    <t xml:space="preserve">Ontbrekende gegevens en concrete vragen</t>
  </si>
  <si>
    <t xml:space="preserve">Pas na beantwoording kan de status 'indicatief' naar 'vergelijkbaar'</t>
  </si>
  <si>
    <t xml:space="preserve">Aan</t>
  </si>
  <si>
    <t xml:space="preserve">Ontbrekend gegeven</t>
  </si>
  <si>
    <t xml:space="preserve">Concrete vraag</t>
  </si>
  <si>
    <t xml:space="preserve">Prioriteit</t>
  </si>
  <si>
    <t xml:space="preserve">S-1</t>
  </si>
  <si>
    <t xml:space="preserve">Officiële tarieven 2027 voor Heijmans Vastgoed</t>
  </si>
  <si>
    <t xml:space="preserve">Wilt u de tariefbrief 2027 (en 2026) voor Heijmans Vastgoed sturen, met alle producten: GWR particulier (met/zonder grond), kavelbouw, Waarborgregeling Afbouw, GWR zakelijk, transformatie en renovatie?</t>
  </si>
  <si>
    <t xml:space="preserve">Hoog</t>
  </si>
  <si>
    <t xml:space="preserve">S-2</t>
  </si>
  <si>
    <t xml:space="preserve">Herkomst rekenmodel B2</t>
  </si>
  <si>
    <t xml:space="preserve">Zijn Sectie I 0,5198% over 20% van de aanneemsom, Sectie II 0,0380%, de opslagen 30,3%/10%/10% en € 750 bureaukosten de tarieven voor 2026? Welke grondslag en welk document horen daarbij?</t>
  </si>
  <si>
    <t xml:space="preserve">S-3</t>
  </si>
  <si>
    <t xml:space="preserve">Wordt over de provisie, de opslagen en de bureaukosten btw berekend? Zo ja, welk percentage?</t>
  </si>
  <si>
    <t xml:space="preserve">S-4</t>
  </si>
  <si>
    <t xml:space="preserve">Welke aanneemsom geldt voor de provisie: incl. of excl. btw, incl. meer-/minderwerk, incl. of excl. grond en bijkomende kosten? Wordt achteraf nagecalculeerd op de definitieve aanneemsom?</t>
  </si>
  <si>
    <t xml:space="preserve">S-5</t>
  </si>
  <si>
    <t xml:space="preserve">Vanaf hoeveel bouwlagen geldt de hoogbouwopslag? Hoe worden lagen geteld (boven straatpeil, kelder, technische ruimte/dakopbouw)? Hoe verhoudt dit zich tot de technische grens van circa 70 m?</t>
  </si>
  <si>
    <t xml:space="preserve">S-6</t>
  </si>
  <si>
    <t xml:space="preserve">Is € 750 per woning een voorschot met nacalculatie? Zo ja, op welke basis wordt verrekend?</t>
  </si>
  <si>
    <t xml:space="preserve">Middel</t>
  </si>
  <si>
    <t xml:space="preserve">S-7</t>
  </si>
  <si>
    <t xml:space="preserve">Zakelijk</t>
  </si>
  <si>
    <t xml:space="preserve">Wat is het tarief voor de Waarborgregeling Afbouw 2024 (20% dekking) en voor de GWR 2024 bij een zakelijke opdrachtgever? Wat dekt de 'verlengde garantie zakelijk'?</t>
  </si>
  <si>
    <t xml:space="preserve">S-8</t>
  </si>
  <si>
    <t xml:space="preserve">Vaste bijdragen en diensten</t>
  </si>
  <si>
    <t xml:space="preserve">Zijn er een deelnemersbijdrage, jaarlijkse bijdrage, inschrijfgeld of kosten voor depot, afbouwverklaring, afwijkende termijnregeling, planacceptatie bij lage voorverkoop of vervallen plannen?</t>
  </si>
  <si>
    <t xml:space="preserve">S-9</t>
  </si>
  <si>
    <t xml:space="preserve">Technische beoordeling</t>
  </si>
  <si>
    <t xml:space="preserve">Wat kost het technisch bureau bij transformatie, hoogbouw en houtbouw (tarief of bandbreedte)?</t>
  </si>
  <si>
    <t xml:space="preserve">S-10</t>
  </si>
  <si>
    <t xml:space="preserve">Bevestig de maximale insolventiedekking (100% van de aanneemsom?) en de herstelmaxima met prijspeil voor plannen uit 2027.</t>
  </si>
  <si>
    <t xml:space="preserve">S-11</t>
  </si>
  <si>
    <t xml:space="preserve">Hoeveel obligo neemt een project in (methode en percentage) en wat is de huidige obligoruimte van Heijmans Vastgoed?</t>
  </si>
  <si>
    <t xml:space="preserve">W-1</t>
  </si>
  <si>
    <t xml:space="preserve">Btw-percentage</t>
  </si>
  <si>
    <t xml:space="preserve">Welk btw-percentage wordt over premies en extra dienstverlening gerekend? Zijn de bedragen voor extra dienstverlening (p.6) incl. of excl. btw?</t>
  </si>
  <si>
    <t xml:space="preserve">W-2</t>
  </si>
  <si>
    <t xml:space="preserve">Telwijze 13 lagen</t>
  </si>
  <si>
    <t xml:space="preserve">Hoe worden 'lagen boven straatpeil' geteld (begane grond, dakopbouw, technische verdieping, half verdiept)? Geldt het hoogbouwtarief per gebouw of per plan?</t>
  </si>
  <si>
    <t xml:space="preserve">W-3</t>
  </si>
  <si>
    <t xml:space="preserve">Onder welke regeling en met welke dekkingslimieten valt het kavelbouwcertificaat?</t>
  </si>
  <si>
    <t xml:space="preserve">Laag</t>
  </si>
  <si>
    <t xml:space="preserve">W-4</t>
  </si>
  <si>
    <t xml:space="preserve">Zakelijk dekking</t>
  </si>
  <si>
    <t xml:space="preserve">Bevestig 30% insolventiedekking en de herstellimieten voor de zakelijke regeling, ook bij transformatie 'alleen insolventie'.</t>
  </si>
  <si>
    <t xml:space="preserve">W-5</t>
  </si>
  <si>
    <t xml:space="preserve">Hoe hoog is de houtbouwtoeslag (bandbreedte) en hoeveel bouwplaatsbezoeken zijn gebruikelijk?</t>
  </si>
  <si>
    <t xml:space="preserve">W-6</t>
  </si>
  <si>
    <t xml:space="preserve">Hoeveel obligo neemt een project in (methode) en hoe valt het vrij (bij oplevering of na de herstelperiode)?</t>
  </si>
  <si>
    <t xml:space="preserve">W-7</t>
  </si>
  <si>
    <t xml:space="preserve">Dekking particulier</t>
  </si>
  <si>
    <t xml:space="preserve">Bevestig 60% insolventiedekking en € 159.368 / € 24.629 / € 134.739 herstelmaxima met prijspeil voor plannen uit 2027.</t>
  </si>
  <si>
    <t xml:space="preserve">W-8</t>
  </si>
  <si>
    <t xml:space="preserve">Premieherberekening</t>
  </si>
  <si>
    <t xml:space="preserve">Wordt de premie herberekend bij meer-/minderwerk of een gewijzigde koopsom na planacceptatie?</t>
  </si>
  <si>
    <t xml:space="preserve">X-1</t>
  </si>
  <si>
    <t xml:space="preserve">Intern</t>
  </si>
  <si>
    <t xml:space="preserve">Btw-aftrek</t>
  </si>
  <si>
    <t xml:space="preserve">Kan Heijmans Vastgoed de btw over waarborgkosten aftrekken? Dit bepaalt of de vergelijking excl. of incl. btw moet gebeuren (fiscale afdeling).</t>
  </si>
  <si>
    <t xml:space="preserve">Checklist projectcontroller: zijn twee offertes echt vergelijkbaar?</t>
  </si>
  <si>
    <t xml:space="preserve">Vul per vraag ja/nee in (kolom E)  ·  Eén 'nee' bij een blokkerende vraag = niet vergelijkbaar</t>
  </si>
  <si>
    <t xml:space="preserve">Controlevraag</t>
  </si>
  <si>
    <t xml:space="preserve">Type</t>
  </si>
  <si>
    <t xml:space="preserve">Ja/nee</t>
  </si>
  <si>
    <t xml:space="preserve">Zelfde functie: dekken beide offertes dezelfde waarborgen (insolventie + herstel, of alleen insolventie)?</t>
  </si>
  <si>
    <t xml:space="preserve">Blokkerend</t>
  </si>
  <si>
    <t xml:space="preserve">Zelfde doelgroep en regeling (particulier vs zakelijk, nieuwbouw vs transformatie vs kavelbouw)?</t>
  </si>
  <si>
    <t xml:space="preserve">Zijn beide tarieven officieel en voor Heijmans Vastgoed (tariefbrief/offerte, geen intern model)?</t>
  </si>
  <si>
    <t xml:space="preserve">Zelfde tariefjaar en ingangsdatum (planacceptatie)? Zo nee: jaarverschil getoond en geen definitieve conclusie?</t>
  </si>
  <si>
    <t xml:space="preserve">Grondslag per aanbieder correct bepaald (grond, meer-/minderwerk, bijkomende kosten, btw)?</t>
  </si>
  <si>
    <t xml:space="preserve">Hoogbouwgrens per aanbieder apart getoetst, met de juiste telwijze van lagen?</t>
  </si>
  <si>
    <t xml:space="preserve">Opslagen (hoogbouw, bouwtijd, zakelijk, houtbouw) volledig en niet dubbel meegenomen?</t>
  </si>
  <si>
    <t xml:space="preserve">Btw apart getoond (excl. btw | btw | incl. btw) en btw-aftrek onderbouwd?</t>
  </si>
  <si>
    <t xml:space="preserve">Vaste bijdragen op ondernemingsniveau niet volledig aan één project toegerekend?</t>
  </si>
  <si>
    <t xml:space="preserve">Belangrijk</t>
  </si>
  <si>
    <t xml:space="preserve">Voorschotten en werkelijke kosten (nacalculatie) niet dubbel geteld?</t>
  </si>
  <si>
    <t xml:space="preserve">Bijkomende kosten (technische beoordeling, bouwplaatsbezoeken, metingen, depot, termijnregeling) meegenomen?</t>
  </si>
  <si>
    <t xml:space="preserve">Resterende dekkingsverschillen (insolventie %, herstelmaxima, prijspeil) benoemd?</t>
  </si>
  <si>
    <t xml:space="preserve">Termijnregeling apart beoordeeld (cashflow), niet als kostenpost?</t>
  </si>
  <si>
    <t xml:space="preserve">Obligobeslag per aanbieder opgevraagd en apart beoordeeld (niet als premie)?</t>
  </si>
  <si>
    <t xml:space="preserve">Ontbrekende tarieven gemarkeerd als 'niet aangetroffen' of 'offerte nodig' (nooit als 0)?</t>
  </si>
  <si>
    <t xml:space="preserve">Elke tarief- en voorwaardebron voorzien van document, datum en pagina/artikel?</t>
  </si>
  <si>
    <t xml:space="preserve">Uitkomst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</si>
</sst>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&quot;€ &quot;#,##0;[RED]&quot;(€ &quot;#,##0\);\-"/>
    <numFmt numFmtId="167" formatCode="0%"/>
    <numFmt numFmtId="168" formatCode="&quot;€ &quot;#,##0.00;[RED]&quot;(€ &quot;#,##0.00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EB900"/>
      <name val="Arial"/>
      <family val="0"/>
      <charset val="1"/>
    </font>
    <font>
      <b val="true"/>
      <sz val="16"/>
      <color rgb="FF111F39"/>
      <name val="Arial"/>
      <family val="0"/>
      <charset val="1"/>
    </font>
    <font>
      <i val="true"/>
      <sz val="9"/>
      <color rgb="FF4A4F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11F39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B42318"/>
      <name val="Arial"/>
      <family val="0"/>
      <charset val="1"/>
    </font>
    <font>
      <b val="true"/>
      <sz val="9"/>
      <color rgb="FFC98A00"/>
      <name val="Arial"/>
      <family val="0"/>
      <charset val="1"/>
    </font>
    <font>
      <b val="true"/>
      <sz val="9"/>
      <color rgb="FF003B5C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B4231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111F39"/>
      <name val="Arial"/>
      <family val="0"/>
      <charset val="1"/>
    </font>
    <font>
      <sz val="9"/>
      <color rgb="FF4A4F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11F39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11F39"/>
        <bgColor rgb="FF003300"/>
      </patternFill>
    </fill>
    <fill>
      <patternFill patternType="solid">
        <fgColor rgb="FFFEB900"/>
        <bgColor rgb="FFC98A00"/>
      </patternFill>
    </fill>
    <fill>
      <patternFill patternType="solid">
        <fgColor rgb="FF003B5C"/>
        <bgColor rgb="FF111F39"/>
      </patternFill>
    </fill>
    <fill>
      <patternFill patternType="solid">
        <fgColor rgb="FFFDE9B8"/>
        <bgColor rgb="FFFFF3C4"/>
      </patternFill>
    </fill>
    <fill>
      <patternFill patternType="solid">
        <fgColor rgb="FFF7F8FA"/>
        <bgColor rgb="FFFFFFFF"/>
      </patternFill>
    </fill>
    <fill>
      <patternFill patternType="solid">
        <fgColor rgb="FFF4CCCC"/>
        <bgColor rgb="FFD0D5DD"/>
      </patternFill>
    </fill>
    <fill>
      <patternFill patternType="solid">
        <fgColor rgb="FFFFF3C4"/>
        <bgColor rgb="FFFDE9B8"/>
      </patternFill>
    </fill>
    <fill>
      <patternFill patternType="solid">
        <fgColor rgb="FFEAF3F8"/>
        <bgColor rgb="FFF7F8F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D"/>
      </bottom>
      <diagonal/>
    </border>
    <border diagonalUp="false" diagonalDown="false">
      <left/>
      <right/>
      <top/>
      <bottom style="medium">
        <color rgb="FF111F3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2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03B5C"/>
          <bgColor rgb="FF000000"/>
        </patternFill>
      </fill>
    </dxf>
    <dxf>
      <fill>
        <patternFill patternType="solid">
          <fgColor rgb="FFF7F8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DE9B8"/>
          <bgColor rgb="FF000000"/>
        </patternFill>
      </fill>
    </dxf>
    <dxf>
      <fill>
        <patternFill patternType="solid">
          <fgColor rgb="FF111F39"/>
          <bgColor rgb="FF000000"/>
        </patternFill>
      </fill>
    </dxf>
    <dxf>
      <fill>
        <patternFill patternType="solid">
          <fgColor rgb="FFFEB9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C98A00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DE9B8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EAF3F8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8FA"/>
      <rgbColor rgb="FFD9EAD3"/>
      <rgbColor rgb="FFFDE9B8"/>
      <rgbColor rgb="FF99CCFF"/>
      <rgbColor rgb="FFFF99CC"/>
      <rgbColor rgb="FFCC99FF"/>
      <rgbColor rgb="FFF4CCCC"/>
      <rgbColor rgb="FF3366FF"/>
      <rgbColor rgb="FF33CCCC"/>
      <rgbColor rgb="FF99CC00"/>
      <rgbColor rgb="FFFEB900"/>
      <rgbColor rgb="FFC98A00"/>
      <rgbColor rgb="FFFF6600"/>
      <rgbColor rgb="FF4A4F55"/>
      <rgbColor rgb="FF969696"/>
      <rgbColor rgb="FF003B5C"/>
      <rgbColor rgb="FF339966"/>
      <rgbColor rgb="FF003300"/>
      <rgbColor rgb="FF333300"/>
      <rgbColor rgb="FFB42318"/>
      <rgbColor rgb="FF993366"/>
      <rgbColor rgb="FF333399"/>
      <rgbColor rgb="FF111F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B900"/>
    <pageSetUpPr fitToPage="true"/>
  </sheetPr>
  <dimension ref="B1:I2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9" min="3" style="0" width="18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B3" s="3" t="s">
        <v>2</v>
      </c>
      <c r="C3" s="3"/>
      <c r="D3" s="3"/>
      <c r="E3" s="3"/>
      <c r="F3" s="3"/>
      <c r="G3" s="3"/>
      <c r="H3" s="3"/>
      <c r="I3" s="3"/>
    </row>
    <row r="5" customFormat="false" ht="19.5" hidden="false" customHeight="true" outlineLevel="0" collapsed="false">
      <c r="B5" s="4" t="s">
        <v>3</v>
      </c>
      <c r="C5" s="4"/>
      <c r="D5" s="4"/>
      <c r="E5" s="4"/>
      <c r="F5" s="4"/>
      <c r="G5" s="4"/>
      <c r="H5" s="4"/>
      <c r="I5" s="4"/>
    </row>
    <row r="6" customFormat="false" ht="45" hidden="false" customHeight="true" outlineLevel="0" collapsed="false">
      <c r="B6" s="5" t="s">
        <v>4</v>
      </c>
      <c r="C6" s="6" t="s">
        <v>5</v>
      </c>
      <c r="D6" s="6"/>
      <c r="E6" s="6"/>
      <c r="F6" s="6"/>
      <c r="G6" s="6"/>
      <c r="H6" s="6"/>
      <c r="I6" s="6"/>
    </row>
    <row r="7" customFormat="false" ht="57.75" hidden="false" customHeight="true" outlineLevel="0" collapsed="false">
      <c r="B7" s="5" t="s">
        <v>6</v>
      </c>
      <c r="C7" s="6" t="s">
        <v>7</v>
      </c>
      <c r="D7" s="6"/>
      <c r="E7" s="6"/>
      <c r="F7" s="6"/>
      <c r="G7" s="6"/>
      <c r="H7" s="6"/>
      <c r="I7" s="6"/>
    </row>
    <row r="8" customFormat="false" ht="57.75" hidden="false" customHeight="true" outlineLevel="0" collapsed="false">
      <c r="B8" s="5" t="s">
        <v>8</v>
      </c>
      <c r="C8" s="6" t="s">
        <v>9</v>
      </c>
      <c r="D8" s="6"/>
      <c r="E8" s="6"/>
      <c r="F8" s="6"/>
      <c r="G8" s="6"/>
      <c r="H8" s="6"/>
      <c r="I8" s="6"/>
    </row>
    <row r="9" customFormat="false" ht="31.5" hidden="false" customHeight="true" outlineLevel="0" collapsed="false">
      <c r="B9" s="5" t="s">
        <v>10</v>
      </c>
      <c r="C9" s="6" t="s">
        <v>11</v>
      </c>
      <c r="D9" s="6"/>
      <c r="E9" s="6"/>
      <c r="F9" s="6"/>
      <c r="G9" s="6"/>
      <c r="H9" s="6"/>
      <c r="I9" s="6"/>
    </row>
    <row r="10" customFormat="false" ht="57.75" hidden="false" customHeight="true" outlineLevel="0" collapsed="false">
      <c r="B10" s="5" t="s">
        <v>12</v>
      </c>
      <c r="C10" s="6" t="s">
        <v>13</v>
      </c>
      <c r="D10" s="6"/>
      <c r="E10" s="6"/>
      <c r="F10" s="6"/>
      <c r="G10" s="6"/>
      <c r="H10" s="6"/>
      <c r="I10" s="6"/>
    </row>
    <row r="11" customFormat="false" ht="31.5" hidden="false" customHeight="true" outlineLevel="0" collapsed="false">
      <c r="B11" s="5" t="s">
        <v>14</v>
      </c>
      <c r="C11" s="6" t="s">
        <v>15</v>
      </c>
      <c r="D11" s="6"/>
      <c r="E11" s="6"/>
      <c r="F11" s="6"/>
      <c r="G11" s="6"/>
      <c r="H11" s="6"/>
      <c r="I11" s="6"/>
    </row>
    <row r="12" customFormat="false" ht="45" hidden="false" customHeight="true" outlineLevel="0" collapsed="false">
      <c r="B12" s="5" t="s">
        <v>16</v>
      </c>
      <c r="C12" s="6" t="s">
        <v>17</v>
      </c>
      <c r="D12" s="6"/>
      <c r="E12" s="6"/>
      <c r="F12" s="6"/>
      <c r="G12" s="6"/>
      <c r="H12" s="6"/>
      <c r="I12" s="6"/>
    </row>
    <row r="13" customFormat="false" ht="45" hidden="false" customHeight="true" outlineLevel="0" collapsed="false">
      <c r="B13" s="5" t="s">
        <v>18</v>
      </c>
      <c r="C13" s="6" t="s">
        <v>19</v>
      </c>
      <c r="D13" s="6"/>
      <c r="E13" s="6"/>
      <c r="F13" s="6"/>
      <c r="G13" s="6"/>
      <c r="H13" s="6"/>
      <c r="I13" s="6"/>
    </row>
    <row r="14" customFormat="false" ht="45" hidden="false" customHeight="true" outlineLevel="0" collapsed="false">
      <c r="B14" s="5" t="s">
        <v>20</v>
      </c>
      <c r="C14" s="6" t="s">
        <v>21</v>
      </c>
      <c r="D14" s="6"/>
      <c r="E14" s="6"/>
      <c r="F14" s="6"/>
      <c r="G14" s="6"/>
      <c r="H14" s="6"/>
      <c r="I14" s="6"/>
    </row>
    <row r="16" customFormat="false" ht="19.5" hidden="false" customHeight="true" outlineLevel="0" collapsed="false">
      <c r="B16" s="4" t="s">
        <v>22</v>
      </c>
      <c r="C16" s="4"/>
      <c r="D16" s="4"/>
      <c r="E16" s="4"/>
      <c r="F16" s="4"/>
      <c r="G16" s="4"/>
      <c r="H16" s="4"/>
      <c r="I16" s="4"/>
    </row>
    <row r="17" customFormat="false" ht="30" hidden="false" customHeight="true" outlineLevel="0" collapsed="false">
      <c r="B17" s="7" t="s">
        <v>23</v>
      </c>
      <c r="C17" s="7" t="s">
        <v>24</v>
      </c>
      <c r="D17" s="7" t="s">
        <v>25</v>
      </c>
      <c r="E17" s="7" t="s">
        <v>26</v>
      </c>
      <c r="F17" s="8" t="s">
        <v>27</v>
      </c>
      <c r="G17" s="8"/>
      <c r="H17" s="8"/>
      <c r="I17" s="8"/>
    </row>
    <row r="18" customFormat="false" ht="66" hidden="false" customHeight="true" outlineLevel="0" collapsed="false">
      <c r="B18" s="9" t="s">
        <v>28</v>
      </c>
      <c r="C18" s="9" t="s">
        <v>29</v>
      </c>
      <c r="D18" s="9" t="s">
        <v>30</v>
      </c>
      <c r="E18" s="10" t="s">
        <v>31</v>
      </c>
      <c r="F18" s="9" t="s">
        <v>32</v>
      </c>
      <c r="G18" s="9"/>
      <c r="H18" s="9"/>
      <c r="I18" s="9"/>
    </row>
    <row r="19" customFormat="false" ht="54" hidden="false" customHeight="true" outlineLevel="0" collapsed="false">
      <c r="B19" s="11" t="s">
        <v>33</v>
      </c>
      <c r="C19" s="11" t="s">
        <v>34</v>
      </c>
      <c r="D19" s="11" t="s">
        <v>35</v>
      </c>
      <c r="E19" s="10" t="s">
        <v>31</v>
      </c>
      <c r="F19" s="11" t="s">
        <v>36</v>
      </c>
      <c r="G19" s="11"/>
      <c r="H19" s="11"/>
      <c r="I19" s="11"/>
    </row>
    <row r="20" customFormat="false" ht="54" hidden="false" customHeight="true" outlineLevel="0" collapsed="false">
      <c r="B20" s="9" t="s">
        <v>37</v>
      </c>
      <c r="C20" s="9" t="s">
        <v>38</v>
      </c>
      <c r="D20" s="9" t="s">
        <v>39</v>
      </c>
      <c r="E20" s="10" t="s">
        <v>31</v>
      </c>
      <c r="F20" s="9" t="s">
        <v>40</v>
      </c>
      <c r="G20" s="9"/>
      <c r="H20" s="9"/>
      <c r="I20" s="9"/>
    </row>
    <row r="21" customFormat="false" ht="28.5" hidden="false" customHeight="true" outlineLevel="0" collapsed="false">
      <c r="B21" s="11" t="s">
        <v>41</v>
      </c>
      <c r="C21" s="11" t="s">
        <v>42</v>
      </c>
      <c r="D21" s="11" t="s">
        <v>43</v>
      </c>
      <c r="E21" s="12" t="s">
        <v>44</v>
      </c>
      <c r="F21" s="11" t="s">
        <v>45</v>
      </c>
      <c r="G21" s="11"/>
      <c r="H21" s="11"/>
      <c r="I21" s="11"/>
    </row>
    <row r="22" customFormat="false" ht="54" hidden="false" customHeight="true" outlineLevel="0" collapsed="false">
      <c r="B22" s="9" t="s">
        <v>46</v>
      </c>
      <c r="C22" s="9" t="s">
        <v>47</v>
      </c>
      <c r="D22" s="9" t="s">
        <v>48</v>
      </c>
      <c r="E22" s="12" t="s">
        <v>44</v>
      </c>
      <c r="F22" s="9" t="s">
        <v>49</v>
      </c>
      <c r="G22" s="9"/>
      <c r="H22" s="9"/>
      <c r="I22" s="9"/>
    </row>
    <row r="23" customFormat="false" ht="41.25" hidden="false" customHeight="true" outlineLevel="0" collapsed="false">
      <c r="B23" s="11" t="s">
        <v>50</v>
      </c>
      <c r="C23" s="11" t="s">
        <v>51</v>
      </c>
      <c r="D23" s="11" t="s">
        <v>52</v>
      </c>
      <c r="E23" s="12" t="s">
        <v>44</v>
      </c>
      <c r="F23" s="11" t="s">
        <v>53</v>
      </c>
      <c r="G23" s="11"/>
      <c r="H23" s="11"/>
      <c r="I23" s="11"/>
    </row>
    <row r="24" customFormat="false" ht="28.5" hidden="false" customHeight="true" outlineLevel="0" collapsed="false">
      <c r="B24" s="9" t="s">
        <v>54</v>
      </c>
      <c r="C24" s="9" t="s">
        <v>55</v>
      </c>
      <c r="D24" s="9" t="s">
        <v>56</v>
      </c>
      <c r="E24" s="12" t="s">
        <v>44</v>
      </c>
      <c r="F24" s="9" t="s">
        <v>45</v>
      </c>
      <c r="G24" s="9"/>
      <c r="H24" s="9"/>
      <c r="I24" s="9"/>
    </row>
    <row r="25" customFormat="false" ht="28.5" hidden="false" customHeight="true" outlineLevel="0" collapsed="false">
      <c r="B25" s="11" t="s">
        <v>57</v>
      </c>
      <c r="C25" s="11" t="s">
        <v>58</v>
      </c>
      <c r="D25" s="11" t="s">
        <v>59</v>
      </c>
      <c r="E25" s="12" t="s">
        <v>44</v>
      </c>
      <c r="F25" s="11" t="s">
        <v>45</v>
      </c>
      <c r="G25" s="11"/>
      <c r="H25" s="11"/>
      <c r="I25" s="11"/>
    </row>
    <row r="26" customFormat="false" ht="28.5" hidden="false" customHeight="true" outlineLevel="0" collapsed="false">
      <c r="B26" s="9" t="s">
        <v>60</v>
      </c>
      <c r="C26" s="9" t="s">
        <v>61</v>
      </c>
      <c r="D26" s="9" t="s">
        <v>62</v>
      </c>
      <c r="E26" s="12" t="s">
        <v>44</v>
      </c>
      <c r="F26" s="9" t="s">
        <v>63</v>
      </c>
      <c r="G26" s="9"/>
      <c r="H26" s="9"/>
      <c r="I26" s="9"/>
    </row>
  </sheetData>
  <autoFilter ref="B17:I26"/>
  <mergeCells count="24">
    <mergeCell ref="B1:I1"/>
    <mergeCell ref="B2:I2"/>
    <mergeCell ref="B3:I3"/>
    <mergeCell ref="B5:I5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B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&amp;C&amp;"Arial,Regular"Heijmans Vastgoed | SWK vs. Woningborg | 1 Samenvatting&amp;R&amp;"Arial,Regular"Pagina &amp;P van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N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34"/>
    <col collapsed="false" customWidth="true" hidden="false" outlineLevel="0" max="11" min="11" style="0" width="12"/>
    <col collapsed="false" customWidth="true" hidden="false" outlineLevel="0" max="12" min="12" style="0" width="30"/>
    <col collapsed="false" customWidth="true" hidden="false" outlineLevel="0" max="13" min="13" style="0" width="44"/>
    <col collapsed="false" customWidth="true" hidden="false" outlineLevel="0" max="14" min="14" style="0" width="18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1.5" hidden="false" customHeight="true" outlineLevel="0" collapsed="false">
      <c r="B2" s="2" t="s">
        <v>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B3" s="3" t="s">
        <v>65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30" hidden="false" customHeight="true" outlineLevel="0" collapsed="false">
      <c r="B5" s="7" t="s">
        <v>66</v>
      </c>
      <c r="C5" s="7" t="s">
        <v>67</v>
      </c>
      <c r="D5" s="7" t="s">
        <v>68</v>
      </c>
      <c r="E5" s="7" t="s">
        <v>69</v>
      </c>
      <c r="F5" s="7" t="s">
        <v>70</v>
      </c>
      <c r="G5" s="7" t="s">
        <v>71</v>
      </c>
      <c r="H5" s="7" t="s">
        <v>72</v>
      </c>
      <c r="I5" s="7" t="s">
        <v>73</v>
      </c>
      <c r="J5" s="7" t="s">
        <v>74</v>
      </c>
      <c r="K5" s="7" t="s">
        <v>75</v>
      </c>
      <c r="L5" s="7" t="s">
        <v>76</v>
      </c>
      <c r="M5" s="7" t="s">
        <v>77</v>
      </c>
      <c r="N5" s="7" t="s">
        <v>78</v>
      </c>
    </row>
    <row r="6" customFormat="false" ht="54" hidden="false" customHeight="true" outlineLevel="0" collapsed="false">
      <c r="B6" s="9" t="s">
        <v>79</v>
      </c>
      <c r="C6" s="9" t="s">
        <v>80</v>
      </c>
      <c r="D6" s="9" t="s">
        <v>81</v>
      </c>
      <c r="E6" s="9" t="s">
        <v>82</v>
      </c>
      <c r="F6" s="9" t="s">
        <v>83</v>
      </c>
      <c r="G6" s="9" t="s">
        <v>84</v>
      </c>
      <c r="H6" s="9" t="s">
        <v>85</v>
      </c>
      <c r="I6" s="9" t="s">
        <v>86</v>
      </c>
      <c r="J6" s="9" t="s">
        <v>87</v>
      </c>
      <c r="K6" s="9" t="s">
        <v>88</v>
      </c>
      <c r="L6" s="9" t="s">
        <v>89</v>
      </c>
      <c r="M6" s="9" t="s">
        <v>90</v>
      </c>
      <c r="N6" s="9" t="s">
        <v>91</v>
      </c>
    </row>
    <row r="7" customFormat="false" ht="41.25" hidden="false" customHeight="true" outlineLevel="0" collapsed="false">
      <c r="B7" s="11" t="s">
        <v>92</v>
      </c>
      <c r="C7" s="11" t="s">
        <v>93</v>
      </c>
      <c r="D7" s="11" t="s">
        <v>94</v>
      </c>
      <c r="E7" s="11" t="s">
        <v>95</v>
      </c>
      <c r="F7" s="11" t="s">
        <v>96</v>
      </c>
      <c r="G7" s="11" t="s">
        <v>97</v>
      </c>
      <c r="H7" s="11" t="s">
        <v>98</v>
      </c>
      <c r="I7" s="11" t="s">
        <v>97</v>
      </c>
      <c r="J7" s="11" t="s">
        <v>99</v>
      </c>
      <c r="K7" s="11" t="s">
        <v>97</v>
      </c>
      <c r="L7" s="11" t="s">
        <v>100</v>
      </c>
      <c r="M7" s="11" t="s">
        <v>101</v>
      </c>
      <c r="N7" s="11" t="s">
        <v>102</v>
      </c>
    </row>
    <row r="8" customFormat="false" ht="28.5" hidden="false" customHeight="true" outlineLevel="0" collapsed="false">
      <c r="B8" s="9" t="s">
        <v>103</v>
      </c>
      <c r="C8" s="9" t="s">
        <v>104</v>
      </c>
      <c r="D8" s="9" t="s">
        <v>24</v>
      </c>
      <c r="E8" s="9" t="s">
        <v>105</v>
      </c>
      <c r="F8" s="9" t="s">
        <v>106</v>
      </c>
      <c r="G8" s="9" t="s">
        <v>107</v>
      </c>
      <c r="H8" s="9" t="s">
        <v>108</v>
      </c>
      <c r="I8" s="9" t="s">
        <v>109</v>
      </c>
      <c r="J8" s="9" t="s">
        <v>110</v>
      </c>
      <c r="K8" s="9" t="s">
        <v>111</v>
      </c>
      <c r="L8" s="9" t="s">
        <v>112</v>
      </c>
      <c r="M8" s="9" t="s">
        <v>113</v>
      </c>
      <c r="N8" s="9" t="s">
        <v>114</v>
      </c>
    </row>
    <row r="9" customFormat="false" ht="28.5" hidden="false" customHeight="true" outlineLevel="0" collapsed="false">
      <c r="B9" s="11" t="s">
        <v>115</v>
      </c>
      <c r="C9" s="11" t="s">
        <v>116</v>
      </c>
      <c r="D9" s="11" t="s">
        <v>24</v>
      </c>
      <c r="E9" s="11" t="s">
        <v>105</v>
      </c>
      <c r="F9" s="11" t="s">
        <v>117</v>
      </c>
      <c r="G9" s="11" t="s">
        <v>107</v>
      </c>
      <c r="H9" s="11" t="s">
        <v>118</v>
      </c>
      <c r="I9" s="11" t="s">
        <v>119</v>
      </c>
      <c r="J9" s="11" t="s">
        <v>110</v>
      </c>
      <c r="K9" s="11" t="s">
        <v>111</v>
      </c>
      <c r="L9" s="11" t="s">
        <v>112</v>
      </c>
      <c r="M9" s="11" t="s">
        <v>120</v>
      </c>
      <c r="N9" s="11" t="s">
        <v>114</v>
      </c>
    </row>
    <row r="10" customFormat="false" ht="41.25" hidden="false" customHeight="true" outlineLevel="0" collapsed="false">
      <c r="B10" s="9" t="s">
        <v>121</v>
      </c>
      <c r="C10" s="9" t="s">
        <v>122</v>
      </c>
      <c r="D10" s="9" t="s">
        <v>24</v>
      </c>
      <c r="E10" s="9" t="s">
        <v>123</v>
      </c>
      <c r="F10" s="9" t="s">
        <v>124</v>
      </c>
      <c r="G10" s="9" t="s">
        <v>107</v>
      </c>
      <c r="H10" s="9" t="s">
        <v>125</v>
      </c>
      <c r="I10" s="9" t="s">
        <v>118</v>
      </c>
      <c r="J10" s="9" t="s">
        <v>126</v>
      </c>
      <c r="K10" s="9" t="s">
        <v>127</v>
      </c>
      <c r="L10" s="9" t="s">
        <v>119</v>
      </c>
      <c r="M10" s="9" t="s">
        <v>128</v>
      </c>
      <c r="N10" s="9" t="s">
        <v>114</v>
      </c>
    </row>
    <row r="11" customFormat="false" ht="28.5" hidden="false" customHeight="true" outlineLevel="0" collapsed="false">
      <c r="B11" s="11" t="s">
        <v>129</v>
      </c>
      <c r="C11" s="11" t="s">
        <v>130</v>
      </c>
      <c r="D11" s="11" t="s">
        <v>24</v>
      </c>
      <c r="E11" s="11" t="s">
        <v>131</v>
      </c>
      <c r="F11" s="11" t="s">
        <v>132</v>
      </c>
      <c r="G11" s="11" t="s">
        <v>107</v>
      </c>
      <c r="H11" s="11" t="s">
        <v>133</v>
      </c>
      <c r="I11" s="11" t="s">
        <v>118</v>
      </c>
      <c r="J11" s="11" t="s">
        <v>134</v>
      </c>
      <c r="K11" s="11" t="s">
        <v>127</v>
      </c>
      <c r="L11" s="11" t="s">
        <v>119</v>
      </c>
      <c r="M11" s="11" t="s">
        <v>135</v>
      </c>
      <c r="N11" s="11" t="s">
        <v>114</v>
      </c>
    </row>
    <row r="12" customFormat="false" ht="28.5" hidden="false" customHeight="true" outlineLevel="0" collapsed="false">
      <c r="B12" s="9" t="s">
        <v>136</v>
      </c>
      <c r="C12" s="9" t="s">
        <v>137</v>
      </c>
      <c r="D12" s="9" t="s">
        <v>24</v>
      </c>
      <c r="E12" s="9" t="s">
        <v>138</v>
      </c>
      <c r="F12" s="9" t="s">
        <v>139</v>
      </c>
      <c r="G12" s="9" t="s">
        <v>107</v>
      </c>
      <c r="H12" s="9" t="s">
        <v>140</v>
      </c>
      <c r="I12" s="9" t="s">
        <v>118</v>
      </c>
      <c r="J12" s="9" t="s">
        <v>141</v>
      </c>
      <c r="K12" s="9" t="s">
        <v>142</v>
      </c>
      <c r="L12" s="9" t="s">
        <v>143</v>
      </c>
      <c r="M12" s="9" t="s">
        <v>144</v>
      </c>
      <c r="N12" s="9" t="s">
        <v>145</v>
      </c>
    </row>
    <row r="13" customFormat="false" ht="28.5" hidden="false" customHeight="true" outlineLevel="0" collapsed="false">
      <c r="B13" s="11" t="s">
        <v>146</v>
      </c>
      <c r="C13" s="11" t="s">
        <v>147</v>
      </c>
      <c r="D13" s="11" t="s">
        <v>24</v>
      </c>
      <c r="E13" s="11" t="s">
        <v>148</v>
      </c>
      <c r="F13" s="11" t="s">
        <v>149</v>
      </c>
      <c r="G13" s="11" t="s">
        <v>107</v>
      </c>
      <c r="H13" s="11" t="s">
        <v>118</v>
      </c>
      <c r="I13" s="11" t="s">
        <v>118</v>
      </c>
      <c r="J13" s="11" t="s">
        <v>141</v>
      </c>
      <c r="K13" s="11" t="s">
        <v>97</v>
      </c>
      <c r="L13" s="11" t="s">
        <v>141</v>
      </c>
      <c r="M13" s="11" t="s">
        <v>150</v>
      </c>
      <c r="N13" s="11" t="s">
        <v>114</v>
      </c>
    </row>
    <row r="14" customFormat="false" ht="41.25" hidden="false" customHeight="true" outlineLevel="0" collapsed="false">
      <c r="B14" s="9" t="s">
        <v>151</v>
      </c>
      <c r="C14" s="9" t="s">
        <v>152</v>
      </c>
      <c r="D14" s="9" t="s">
        <v>25</v>
      </c>
      <c r="E14" s="9" t="s">
        <v>105</v>
      </c>
      <c r="F14" s="9" t="s">
        <v>153</v>
      </c>
      <c r="G14" s="9" t="s">
        <v>107</v>
      </c>
      <c r="H14" s="9" t="s">
        <v>118</v>
      </c>
      <c r="I14" s="9" t="s">
        <v>154</v>
      </c>
      <c r="J14" s="9" t="s">
        <v>110</v>
      </c>
      <c r="K14" s="9" t="s">
        <v>155</v>
      </c>
      <c r="L14" s="9" t="s">
        <v>112</v>
      </c>
      <c r="M14" s="9" t="s">
        <v>156</v>
      </c>
      <c r="N14" s="9" t="s">
        <v>114</v>
      </c>
    </row>
    <row r="15" customFormat="false" ht="41.25" hidden="false" customHeight="true" outlineLevel="0" collapsed="false">
      <c r="B15" s="11" t="s">
        <v>157</v>
      </c>
      <c r="C15" s="11" t="s">
        <v>158</v>
      </c>
      <c r="D15" s="11" t="s">
        <v>25</v>
      </c>
      <c r="E15" s="11" t="s">
        <v>105</v>
      </c>
      <c r="F15" s="11" t="s">
        <v>159</v>
      </c>
      <c r="G15" s="11" t="s">
        <v>107</v>
      </c>
      <c r="H15" s="11" t="s">
        <v>118</v>
      </c>
      <c r="I15" s="11" t="s">
        <v>160</v>
      </c>
      <c r="J15" s="11" t="s">
        <v>110</v>
      </c>
      <c r="K15" s="11" t="s">
        <v>140</v>
      </c>
      <c r="L15" s="11" t="s">
        <v>119</v>
      </c>
      <c r="M15" s="11" t="s">
        <v>161</v>
      </c>
      <c r="N15" s="11" t="s">
        <v>114</v>
      </c>
    </row>
    <row r="16" customFormat="false" ht="41.25" hidden="false" customHeight="true" outlineLevel="0" collapsed="false">
      <c r="B16" s="9" t="s">
        <v>162</v>
      </c>
      <c r="C16" s="9" t="s">
        <v>163</v>
      </c>
      <c r="D16" s="9" t="s">
        <v>25</v>
      </c>
      <c r="E16" s="9" t="s">
        <v>148</v>
      </c>
      <c r="F16" s="9" t="s">
        <v>164</v>
      </c>
      <c r="G16" s="9" t="s">
        <v>107</v>
      </c>
      <c r="H16" s="9" t="s">
        <v>133</v>
      </c>
      <c r="I16" s="9" t="s">
        <v>118</v>
      </c>
      <c r="J16" s="9" t="s">
        <v>141</v>
      </c>
      <c r="K16" s="9" t="s">
        <v>133</v>
      </c>
      <c r="L16" s="9" t="s">
        <v>119</v>
      </c>
      <c r="M16" s="9" t="s">
        <v>165</v>
      </c>
      <c r="N16" s="9" t="s">
        <v>114</v>
      </c>
    </row>
    <row r="17" customFormat="false" ht="28.5" hidden="false" customHeight="true" outlineLevel="0" collapsed="false">
      <c r="B17" s="11" t="s">
        <v>166</v>
      </c>
      <c r="C17" s="11" t="s">
        <v>167</v>
      </c>
      <c r="D17" s="11" t="s">
        <v>25</v>
      </c>
      <c r="E17" s="11" t="s">
        <v>168</v>
      </c>
      <c r="F17" s="11" t="s">
        <v>138</v>
      </c>
      <c r="G17" s="11" t="s">
        <v>107</v>
      </c>
      <c r="H17" s="11" t="s">
        <v>169</v>
      </c>
      <c r="I17" s="11" t="s">
        <v>118</v>
      </c>
      <c r="J17" s="11" t="s">
        <v>170</v>
      </c>
      <c r="K17" s="11" t="s">
        <v>171</v>
      </c>
      <c r="L17" s="11" t="s">
        <v>119</v>
      </c>
      <c r="M17" s="11" t="s">
        <v>172</v>
      </c>
      <c r="N17" s="11" t="s">
        <v>114</v>
      </c>
    </row>
    <row r="18" customFormat="false" ht="41.25" hidden="false" customHeight="true" outlineLevel="0" collapsed="false">
      <c r="B18" s="9" t="s">
        <v>173</v>
      </c>
      <c r="C18" s="9" t="s">
        <v>174</v>
      </c>
      <c r="D18" s="9" t="s">
        <v>25</v>
      </c>
      <c r="E18" s="9" t="s">
        <v>175</v>
      </c>
      <c r="F18" s="9" t="s">
        <v>176</v>
      </c>
      <c r="G18" s="9" t="s">
        <v>107</v>
      </c>
      <c r="H18" s="9" t="s">
        <v>118</v>
      </c>
      <c r="I18" s="9" t="s">
        <v>118</v>
      </c>
      <c r="J18" s="9" t="s">
        <v>141</v>
      </c>
      <c r="K18" s="9" t="s">
        <v>97</v>
      </c>
      <c r="L18" s="9" t="s">
        <v>141</v>
      </c>
      <c r="M18" s="9" t="s">
        <v>177</v>
      </c>
      <c r="N18" s="9" t="s">
        <v>114</v>
      </c>
    </row>
    <row r="20" customFormat="false" ht="19.5" hidden="false" customHeight="true" outlineLevel="0" collapsed="false">
      <c r="B20" s="4" t="s">
        <v>178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customFormat="false" ht="30" hidden="false" customHeight="true" outlineLevel="0" collapsed="false">
      <c r="B21" s="7" t="s">
        <v>179</v>
      </c>
      <c r="C21" s="7" t="s">
        <v>180</v>
      </c>
      <c r="D21" s="7" t="s">
        <v>181</v>
      </c>
      <c r="E21" s="7" t="s">
        <v>182</v>
      </c>
      <c r="F21" s="7" t="s">
        <v>183</v>
      </c>
      <c r="G21" s="7" t="s">
        <v>184</v>
      </c>
      <c r="H21" s="7"/>
      <c r="I21" s="7"/>
      <c r="J21" s="7"/>
      <c r="K21" s="7"/>
      <c r="L21" s="7"/>
      <c r="M21" s="7"/>
      <c r="N21" s="7"/>
    </row>
    <row r="22" customFormat="false" ht="41.25" hidden="false" customHeight="true" outlineLevel="0" collapsed="false">
      <c r="B22" s="9" t="s">
        <v>185</v>
      </c>
      <c r="C22" s="9" t="s">
        <v>72</v>
      </c>
      <c r="D22" s="9" t="s">
        <v>186</v>
      </c>
      <c r="E22" s="9" t="s">
        <v>187</v>
      </c>
      <c r="F22" s="9" t="s">
        <v>188</v>
      </c>
      <c r="G22" s="9" t="s">
        <v>189</v>
      </c>
    </row>
    <row r="23" customFormat="false" ht="28.5" hidden="false" customHeight="true" outlineLevel="0" collapsed="false">
      <c r="B23" s="11" t="s">
        <v>190</v>
      </c>
      <c r="C23" s="11" t="s">
        <v>191</v>
      </c>
      <c r="D23" s="11" t="s">
        <v>192</v>
      </c>
      <c r="E23" s="11" t="s">
        <v>193</v>
      </c>
      <c r="F23" s="11" t="s">
        <v>194</v>
      </c>
      <c r="G23" s="13" t="s">
        <v>195</v>
      </c>
    </row>
    <row r="24" customFormat="false" ht="54" hidden="false" customHeight="true" outlineLevel="0" collapsed="false">
      <c r="B24" s="9" t="s">
        <v>196</v>
      </c>
      <c r="C24" s="9" t="s">
        <v>197</v>
      </c>
      <c r="D24" s="9" t="s">
        <v>198</v>
      </c>
      <c r="E24" s="9" t="s">
        <v>199</v>
      </c>
      <c r="F24" s="9" t="s">
        <v>200</v>
      </c>
      <c r="G24" s="9" t="s">
        <v>201</v>
      </c>
    </row>
    <row r="25" customFormat="false" ht="54" hidden="false" customHeight="true" outlineLevel="0" collapsed="false">
      <c r="B25" s="11" t="s">
        <v>202</v>
      </c>
      <c r="C25" s="11" t="s">
        <v>203</v>
      </c>
      <c r="D25" s="11" t="s">
        <v>204</v>
      </c>
      <c r="E25" s="11" t="s">
        <v>205</v>
      </c>
      <c r="F25" s="11" t="s">
        <v>206</v>
      </c>
      <c r="G25" s="11" t="s">
        <v>207</v>
      </c>
    </row>
    <row r="26" customFormat="false" ht="41.25" hidden="false" customHeight="true" outlineLevel="0" collapsed="false">
      <c r="B26" s="9" t="s">
        <v>208</v>
      </c>
      <c r="C26" s="9" t="s">
        <v>209</v>
      </c>
      <c r="D26" s="9" t="s">
        <v>210</v>
      </c>
      <c r="E26" s="9" t="s">
        <v>211</v>
      </c>
      <c r="F26" s="9" t="s">
        <v>212</v>
      </c>
      <c r="G26" s="9" t="s">
        <v>213</v>
      </c>
    </row>
    <row r="27" customFormat="false" ht="41.25" hidden="false" customHeight="true" outlineLevel="0" collapsed="false">
      <c r="B27" s="11" t="s">
        <v>214</v>
      </c>
      <c r="C27" s="11" t="s">
        <v>215</v>
      </c>
      <c r="D27" s="11" t="s">
        <v>216</v>
      </c>
      <c r="E27" s="11" t="s">
        <v>217</v>
      </c>
      <c r="F27" s="11" t="s">
        <v>218</v>
      </c>
      <c r="G27" s="11" t="s">
        <v>219</v>
      </c>
    </row>
    <row r="28" customFormat="false" ht="41.25" hidden="false" customHeight="true" outlineLevel="0" collapsed="false">
      <c r="B28" s="9" t="s">
        <v>220</v>
      </c>
      <c r="C28" s="9" t="s">
        <v>221</v>
      </c>
      <c r="D28" s="9" t="s">
        <v>222</v>
      </c>
      <c r="E28" s="9" t="s">
        <v>223</v>
      </c>
      <c r="F28" s="9" t="s">
        <v>224</v>
      </c>
      <c r="G28" s="9" t="s">
        <v>225</v>
      </c>
    </row>
    <row r="29" customFormat="false" ht="28.5" hidden="false" customHeight="true" outlineLevel="0" collapsed="false">
      <c r="B29" s="11" t="s">
        <v>226</v>
      </c>
      <c r="C29" s="11" t="s">
        <v>227</v>
      </c>
      <c r="D29" s="11" t="s">
        <v>228</v>
      </c>
      <c r="E29" s="11" t="s">
        <v>229</v>
      </c>
      <c r="F29" s="11" t="s">
        <v>230</v>
      </c>
      <c r="G29" s="11" t="s">
        <v>10</v>
      </c>
    </row>
    <row r="30" customFormat="false" ht="41.25" hidden="false" customHeight="true" outlineLevel="0" collapsed="false">
      <c r="B30" s="9" t="s">
        <v>231</v>
      </c>
      <c r="C30" s="9" t="s">
        <v>232</v>
      </c>
      <c r="D30" s="9" t="s">
        <v>92</v>
      </c>
      <c r="E30" s="9" t="s">
        <v>233</v>
      </c>
      <c r="F30" s="9" t="s">
        <v>234</v>
      </c>
      <c r="G30" s="9" t="s">
        <v>235</v>
      </c>
    </row>
    <row r="31" customFormat="false" ht="41.25" hidden="false" customHeight="true" outlineLevel="0" collapsed="false">
      <c r="B31" s="11" t="s">
        <v>236</v>
      </c>
      <c r="C31" s="11" t="s">
        <v>237</v>
      </c>
      <c r="D31" s="11" t="s">
        <v>238</v>
      </c>
      <c r="E31" s="11" t="s">
        <v>239</v>
      </c>
      <c r="F31" s="11" t="s">
        <v>240</v>
      </c>
      <c r="G31" s="11" t="s">
        <v>241</v>
      </c>
    </row>
  </sheetData>
  <autoFilter ref="B21:N31"/>
  <mergeCells count="4">
    <mergeCell ref="B1:N1"/>
    <mergeCell ref="B2:N2"/>
    <mergeCell ref="B3:N3"/>
    <mergeCell ref="B20:N20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&amp;C&amp;"Arial,Regular"Heijmans Vastgoed | SWK vs. Woningborg | 2 Bronnen&amp;R&amp;"Arial,Regular"Pagina &amp;P van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U2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10"/>
    <col collapsed="false" customWidth="true" hidden="false" outlineLevel="0" max="12" min="12" style="0" width="28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24"/>
    <col collapsed="false" customWidth="true" hidden="false" outlineLevel="0" max="16" min="16" style="0" width="16"/>
    <col collapsed="false" customWidth="true" hidden="false" outlineLevel="0" max="17" min="17" style="0" width="22"/>
    <col collapsed="false" customWidth="true" hidden="false" outlineLevel="0" max="18" min="18" style="0" width="28"/>
    <col collapsed="false" customWidth="true" hidden="false" outlineLevel="0" max="19" min="19" style="0" width="12"/>
    <col collapsed="false" customWidth="true" hidden="false" outlineLevel="0" max="20" min="20" style="0" width="18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31.5" hidden="false" customHeight="true" outlineLevel="0" collapsed="false">
      <c r="B2" s="2" t="s">
        <v>242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" hidden="false" customHeight="false" outlineLevel="0" collapsed="false">
      <c r="B3" s="3" t="s">
        <v>243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5" customFormat="false" ht="30" hidden="false" customHeight="true" outlineLevel="0" collapsed="false">
      <c r="B5" s="7" t="s">
        <v>66</v>
      </c>
      <c r="C5" s="7" t="s">
        <v>68</v>
      </c>
      <c r="D5" s="7" t="s">
        <v>70</v>
      </c>
      <c r="E5" s="7" t="s">
        <v>244</v>
      </c>
      <c r="F5" s="7" t="s">
        <v>245</v>
      </c>
      <c r="G5" s="7" t="s">
        <v>246</v>
      </c>
      <c r="H5" s="7" t="s">
        <v>247</v>
      </c>
      <c r="I5" s="7" t="s">
        <v>72</v>
      </c>
      <c r="J5" s="7" t="s">
        <v>248</v>
      </c>
      <c r="K5" s="7" t="s">
        <v>249</v>
      </c>
      <c r="L5" s="7" t="s">
        <v>250</v>
      </c>
      <c r="M5" s="7" t="s">
        <v>251</v>
      </c>
      <c r="N5" s="7" t="s">
        <v>252</v>
      </c>
      <c r="O5" s="7" t="s">
        <v>253</v>
      </c>
      <c r="P5" s="7" t="s">
        <v>254</v>
      </c>
      <c r="Q5" s="7" t="s">
        <v>255</v>
      </c>
      <c r="R5" s="7" t="s">
        <v>256</v>
      </c>
      <c r="S5" s="7" t="s">
        <v>257</v>
      </c>
      <c r="T5" s="7" t="s">
        <v>258</v>
      </c>
    </row>
    <row r="6" customFormat="false" ht="66" hidden="false" customHeight="true" outlineLevel="0" collapsed="false">
      <c r="B6" s="14" t="s">
        <v>30</v>
      </c>
      <c r="C6" s="9" t="s">
        <v>25</v>
      </c>
      <c r="D6" s="9" t="s">
        <v>259</v>
      </c>
      <c r="E6" s="9" t="s">
        <v>260</v>
      </c>
      <c r="F6" s="9" t="s">
        <v>261</v>
      </c>
      <c r="G6" s="9" t="s">
        <v>262</v>
      </c>
      <c r="H6" s="9" t="s">
        <v>263</v>
      </c>
      <c r="I6" s="9" t="s">
        <v>85</v>
      </c>
      <c r="J6" s="9" t="s">
        <v>264</v>
      </c>
      <c r="K6" s="9" t="s">
        <v>265</v>
      </c>
      <c r="L6" s="9" t="s">
        <v>266</v>
      </c>
      <c r="M6" s="9" t="s">
        <v>267</v>
      </c>
      <c r="N6" s="9" t="s">
        <v>267</v>
      </c>
      <c r="O6" s="9" t="s">
        <v>268</v>
      </c>
      <c r="P6" s="9" t="s">
        <v>269</v>
      </c>
      <c r="Q6" s="9" t="s">
        <v>270</v>
      </c>
      <c r="R6" s="9" t="s">
        <v>271</v>
      </c>
      <c r="S6" s="9" t="s">
        <v>272</v>
      </c>
      <c r="T6" s="15" t="s">
        <v>273</v>
      </c>
    </row>
    <row r="7" customFormat="false" ht="66" hidden="false" customHeight="true" outlineLevel="0" collapsed="false">
      <c r="B7" s="16" t="s">
        <v>274</v>
      </c>
      <c r="C7" s="11" t="s">
        <v>25</v>
      </c>
      <c r="D7" s="11" t="s">
        <v>275</v>
      </c>
      <c r="E7" s="11" t="s">
        <v>260</v>
      </c>
      <c r="F7" s="11" t="s">
        <v>276</v>
      </c>
      <c r="G7" s="11" t="s">
        <v>262</v>
      </c>
      <c r="H7" s="11" t="s">
        <v>263</v>
      </c>
      <c r="I7" s="11" t="s">
        <v>85</v>
      </c>
      <c r="J7" s="11" t="s">
        <v>277</v>
      </c>
      <c r="K7" s="11" t="s">
        <v>265</v>
      </c>
      <c r="L7" s="11" t="s">
        <v>266</v>
      </c>
      <c r="M7" s="11" t="s">
        <v>267</v>
      </c>
      <c r="N7" s="11" t="s">
        <v>267</v>
      </c>
      <c r="O7" s="11" t="s">
        <v>268</v>
      </c>
      <c r="P7" s="11" t="s">
        <v>269</v>
      </c>
      <c r="Q7" s="11" t="s">
        <v>278</v>
      </c>
      <c r="R7" s="11" t="s">
        <v>279</v>
      </c>
      <c r="S7" s="11" t="s">
        <v>280</v>
      </c>
      <c r="T7" s="15" t="s">
        <v>281</v>
      </c>
    </row>
    <row r="8" customFormat="false" ht="66" hidden="false" customHeight="true" outlineLevel="0" collapsed="false">
      <c r="B8" s="14" t="s">
        <v>35</v>
      </c>
      <c r="C8" s="9" t="s">
        <v>25</v>
      </c>
      <c r="D8" s="9" t="s">
        <v>282</v>
      </c>
      <c r="E8" s="9" t="s">
        <v>260</v>
      </c>
      <c r="F8" s="9" t="s">
        <v>283</v>
      </c>
      <c r="G8" s="9" t="s">
        <v>262</v>
      </c>
      <c r="H8" s="9" t="s">
        <v>263</v>
      </c>
      <c r="I8" s="9" t="s">
        <v>85</v>
      </c>
      <c r="J8" s="9" t="s">
        <v>284</v>
      </c>
      <c r="K8" s="9" t="s">
        <v>265</v>
      </c>
      <c r="L8" s="9" t="s">
        <v>285</v>
      </c>
      <c r="M8" s="9" t="s">
        <v>286</v>
      </c>
      <c r="N8" s="9" t="s">
        <v>267</v>
      </c>
      <c r="O8" s="9" t="s">
        <v>268</v>
      </c>
      <c r="P8" s="9" t="s">
        <v>269</v>
      </c>
      <c r="Q8" s="9" t="s">
        <v>287</v>
      </c>
      <c r="R8" s="9" t="s">
        <v>288</v>
      </c>
      <c r="S8" s="9" t="s">
        <v>289</v>
      </c>
      <c r="T8" s="15" t="s">
        <v>290</v>
      </c>
    </row>
    <row r="9" customFormat="false" ht="66" hidden="false" customHeight="true" outlineLevel="0" collapsed="false">
      <c r="B9" s="16" t="s">
        <v>291</v>
      </c>
      <c r="C9" s="11" t="s">
        <v>25</v>
      </c>
      <c r="D9" s="11" t="s">
        <v>275</v>
      </c>
      <c r="E9" s="11" t="s">
        <v>260</v>
      </c>
      <c r="F9" s="11" t="s">
        <v>292</v>
      </c>
      <c r="G9" s="11" t="s">
        <v>262</v>
      </c>
      <c r="H9" s="11" t="s">
        <v>263</v>
      </c>
      <c r="I9" s="11" t="s">
        <v>85</v>
      </c>
      <c r="J9" s="11" t="s">
        <v>293</v>
      </c>
      <c r="K9" s="11" t="s">
        <v>265</v>
      </c>
      <c r="L9" s="11" t="s">
        <v>285</v>
      </c>
      <c r="M9" s="11" t="s">
        <v>286</v>
      </c>
      <c r="N9" s="11" t="s">
        <v>267</v>
      </c>
      <c r="O9" s="11" t="s">
        <v>268</v>
      </c>
      <c r="P9" s="11" t="s">
        <v>269</v>
      </c>
      <c r="Q9" s="11" t="s">
        <v>294</v>
      </c>
      <c r="R9" s="11" t="s">
        <v>295</v>
      </c>
      <c r="S9" s="11" t="s">
        <v>289</v>
      </c>
      <c r="T9" s="15" t="s">
        <v>281</v>
      </c>
    </row>
    <row r="10" customFormat="false" ht="54" hidden="false" customHeight="true" outlineLevel="0" collapsed="false">
      <c r="B10" s="14" t="s">
        <v>43</v>
      </c>
      <c r="C10" s="9" t="s">
        <v>25</v>
      </c>
      <c r="D10" s="9" t="s">
        <v>296</v>
      </c>
      <c r="E10" s="9" t="s">
        <v>297</v>
      </c>
      <c r="F10" s="9" t="s">
        <v>41</v>
      </c>
      <c r="G10" s="9" t="s">
        <v>298</v>
      </c>
      <c r="H10" s="17" t="s">
        <v>299</v>
      </c>
      <c r="I10" s="9" t="s">
        <v>85</v>
      </c>
      <c r="J10" s="9" t="s">
        <v>300</v>
      </c>
      <c r="K10" s="9" t="s">
        <v>265</v>
      </c>
      <c r="L10" s="9" t="s">
        <v>285</v>
      </c>
      <c r="M10" s="9" t="s">
        <v>286</v>
      </c>
      <c r="N10" s="9" t="s">
        <v>267</v>
      </c>
      <c r="O10" s="9" t="s">
        <v>268</v>
      </c>
      <c r="P10" s="9" t="s">
        <v>269</v>
      </c>
      <c r="Q10" s="9" t="s">
        <v>301</v>
      </c>
      <c r="R10" s="9" t="s">
        <v>141</v>
      </c>
      <c r="S10" s="9" t="s">
        <v>289</v>
      </c>
      <c r="T10" s="18" t="s">
        <v>302</v>
      </c>
    </row>
    <row r="11" customFormat="false" ht="54" hidden="false" customHeight="true" outlineLevel="0" collapsed="false">
      <c r="B11" s="16" t="s">
        <v>56</v>
      </c>
      <c r="C11" s="11" t="s">
        <v>25</v>
      </c>
      <c r="D11" s="11" t="s">
        <v>303</v>
      </c>
      <c r="E11" s="11" t="s">
        <v>260</v>
      </c>
      <c r="F11" s="11" t="s">
        <v>304</v>
      </c>
      <c r="G11" s="11" t="s">
        <v>305</v>
      </c>
      <c r="H11" s="11" t="s">
        <v>306</v>
      </c>
      <c r="I11" s="11" t="s">
        <v>85</v>
      </c>
      <c r="J11" s="11" t="s">
        <v>284</v>
      </c>
      <c r="K11" s="11" t="s">
        <v>265</v>
      </c>
      <c r="L11" s="11" t="s">
        <v>307</v>
      </c>
      <c r="M11" s="11" t="s">
        <v>267</v>
      </c>
      <c r="N11" s="11" t="s">
        <v>267</v>
      </c>
      <c r="O11" s="11" t="s">
        <v>268</v>
      </c>
      <c r="P11" s="11" t="s">
        <v>308</v>
      </c>
      <c r="Q11" s="11" t="s">
        <v>309</v>
      </c>
      <c r="R11" s="11" t="s">
        <v>310</v>
      </c>
      <c r="S11" s="11" t="s">
        <v>311</v>
      </c>
      <c r="T11" s="18" t="s">
        <v>312</v>
      </c>
    </row>
    <row r="12" customFormat="false" ht="54" hidden="false" customHeight="true" outlineLevel="0" collapsed="false">
      <c r="B12" s="14" t="s">
        <v>313</v>
      </c>
      <c r="C12" s="9" t="s">
        <v>25</v>
      </c>
      <c r="D12" s="9" t="s">
        <v>314</v>
      </c>
      <c r="E12" s="9" t="s">
        <v>315</v>
      </c>
      <c r="F12" s="9" t="s">
        <v>316</v>
      </c>
      <c r="G12" s="9" t="s">
        <v>317</v>
      </c>
      <c r="H12" s="9" t="s">
        <v>318</v>
      </c>
      <c r="I12" s="9" t="s">
        <v>85</v>
      </c>
      <c r="J12" s="9" t="s">
        <v>319</v>
      </c>
      <c r="K12" s="9" t="s">
        <v>265</v>
      </c>
      <c r="L12" s="9" t="s">
        <v>320</v>
      </c>
      <c r="M12" s="9" t="s">
        <v>286</v>
      </c>
      <c r="N12" s="9" t="s">
        <v>286</v>
      </c>
      <c r="O12" s="9" t="s">
        <v>268</v>
      </c>
      <c r="P12" s="9" t="s">
        <v>269</v>
      </c>
      <c r="Q12" s="9" t="s">
        <v>321</v>
      </c>
      <c r="R12" s="9" t="s">
        <v>322</v>
      </c>
      <c r="S12" s="9" t="s">
        <v>323</v>
      </c>
      <c r="T12" s="18" t="s">
        <v>324</v>
      </c>
    </row>
    <row r="13" customFormat="false" ht="54" hidden="false" customHeight="true" outlineLevel="0" collapsed="false">
      <c r="B13" s="16" t="s">
        <v>325</v>
      </c>
      <c r="C13" s="11" t="s">
        <v>25</v>
      </c>
      <c r="D13" s="11" t="s">
        <v>326</v>
      </c>
      <c r="E13" s="11" t="s">
        <v>315</v>
      </c>
      <c r="F13" s="11" t="s">
        <v>327</v>
      </c>
      <c r="G13" s="11" t="s">
        <v>317</v>
      </c>
      <c r="H13" s="11" t="s">
        <v>318</v>
      </c>
      <c r="I13" s="11" t="s">
        <v>85</v>
      </c>
      <c r="J13" s="11" t="s">
        <v>328</v>
      </c>
      <c r="K13" s="11" t="s">
        <v>265</v>
      </c>
      <c r="L13" s="11" t="s">
        <v>320</v>
      </c>
      <c r="M13" s="11" t="s">
        <v>286</v>
      </c>
      <c r="N13" s="11" t="s">
        <v>286</v>
      </c>
      <c r="O13" s="11" t="s">
        <v>268</v>
      </c>
      <c r="P13" s="11" t="s">
        <v>269</v>
      </c>
      <c r="Q13" s="11" t="s">
        <v>329</v>
      </c>
      <c r="R13" s="11" t="s">
        <v>326</v>
      </c>
      <c r="S13" s="11" t="s">
        <v>330</v>
      </c>
      <c r="T13" s="18" t="s">
        <v>324</v>
      </c>
    </row>
    <row r="14" customFormat="false" ht="54" hidden="false" customHeight="true" outlineLevel="0" collapsed="false">
      <c r="B14" s="14" t="s">
        <v>331</v>
      </c>
      <c r="C14" s="9" t="s">
        <v>25</v>
      </c>
      <c r="D14" s="9" t="s">
        <v>332</v>
      </c>
      <c r="E14" s="9" t="s">
        <v>315</v>
      </c>
      <c r="F14" s="9" t="s">
        <v>333</v>
      </c>
      <c r="G14" s="9" t="s">
        <v>334</v>
      </c>
      <c r="H14" s="9" t="s">
        <v>335</v>
      </c>
      <c r="I14" s="9" t="s">
        <v>85</v>
      </c>
      <c r="J14" s="9" t="s">
        <v>336</v>
      </c>
      <c r="K14" s="9" t="s">
        <v>265</v>
      </c>
      <c r="L14" s="9" t="s">
        <v>320</v>
      </c>
      <c r="M14" s="9" t="s">
        <v>286</v>
      </c>
      <c r="N14" s="9" t="s">
        <v>286</v>
      </c>
      <c r="O14" s="9" t="s">
        <v>268</v>
      </c>
      <c r="P14" s="9" t="s">
        <v>269</v>
      </c>
      <c r="Q14" s="9" t="s">
        <v>337</v>
      </c>
      <c r="R14" s="9" t="s">
        <v>326</v>
      </c>
      <c r="S14" s="9" t="s">
        <v>338</v>
      </c>
      <c r="T14" s="18" t="s">
        <v>339</v>
      </c>
    </row>
    <row r="15" customFormat="false" ht="54" hidden="false" customHeight="true" outlineLevel="0" collapsed="false">
      <c r="B15" s="16" t="s">
        <v>340</v>
      </c>
      <c r="C15" s="11" t="s">
        <v>25</v>
      </c>
      <c r="D15" s="11" t="s">
        <v>326</v>
      </c>
      <c r="E15" s="11" t="s">
        <v>315</v>
      </c>
      <c r="F15" s="11" t="s">
        <v>327</v>
      </c>
      <c r="G15" s="11" t="s">
        <v>334</v>
      </c>
      <c r="H15" s="11" t="s">
        <v>335</v>
      </c>
      <c r="I15" s="11" t="s">
        <v>85</v>
      </c>
      <c r="J15" s="11" t="s">
        <v>341</v>
      </c>
      <c r="K15" s="11" t="s">
        <v>265</v>
      </c>
      <c r="L15" s="11" t="s">
        <v>320</v>
      </c>
      <c r="M15" s="11" t="s">
        <v>286</v>
      </c>
      <c r="N15" s="11" t="s">
        <v>286</v>
      </c>
      <c r="O15" s="11" t="s">
        <v>268</v>
      </c>
      <c r="P15" s="11" t="s">
        <v>269</v>
      </c>
      <c r="Q15" s="11" t="s">
        <v>329</v>
      </c>
      <c r="R15" s="11" t="s">
        <v>326</v>
      </c>
      <c r="S15" s="11" t="s">
        <v>330</v>
      </c>
      <c r="T15" s="18" t="s">
        <v>339</v>
      </c>
    </row>
    <row r="16" customFormat="false" ht="54" hidden="false" customHeight="true" outlineLevel="0" collapsed="false">
      <c r="B16" s="14" t="s">
        <v>342</v>
      </c>
      <c r="C16" s="9" t="s">
        <v>25</v>
      </c>
      <c r="D16" s="9" t="s">
        <v>343</v>
      </c>
      <c r="E16" s="9" t="s">
        <v>315</v>
      </c>
      <c r="F16" s="9" t="s">
        <v>344</v>
      </c>
      <c r="G16" s="9" t="s">
        <v>345</v>
      </c>
      <c r="H16" s="9" t="s">
        <v>318</v>
      </c>
      <c r="I16" s="9" t="s">
        <v>85</v>
      </c>
      <c r="J16" s="9" t="s">
        <v>346</v>
      </c>
      <c r="K16" s="9" t="s">
        <v>265</v>
      </c>
      <c r="L16" s="9" t="s">
        <v>347</v>
      </c>
      <c r="M16" s="9" t="s">
        <v>267</v>
      </c>
      <c r="N16" s="9" t="s">
        <v>286</v>
      </c>
      <c r="O16" s="9" t="s">
        <v>268</v>
      </c>
      <c r="P16" s="9" t="s">
        <v>348</v>
      </c>
      <c r="Q16" s="9" t="s">
        <v>349</v>
      </c>
      <c r="R16" s="9" t="s">
        <v>350</v>
      </c>
      <c r="S16" s="9" t="s">
        <v>330</v>
      </c>
      <c r="T16" s="18" t="s">
        <v>351</v>
      </c>
    </row>
    <row r="17" customFormat="false" ht="54" hidden="false" customHeight="true" outlineLevel="0" collapsed="false">
      <c r="B17" s="16" t="s">
        <v>352</v>
      </c>
      <c r="C17" s="11" t="s">
        <v>25</v>
      </c>
      <c r="D17" s="11" t="s">
        <v>353</v>
      </c>
      <c r="E17" s="11" t="s">
        <v>315</v>
      </c>
      <c r="F17" s="11" t="s">
        <v>354</v>
      </c>
      <c r="G17" s="11" t="s">
        <v>334</v>
      </c>
      <c r="H17" s="11" t="s">
        <v>355</v>
      </c>
      <c r="I17" s="11" t="s">
        <v>85</v>
      </c>
      <c r="J17" s="11" t="s">
        <v>336</v>
      </c>
      <c r="K17" s="11" t="s">
        <v>265</v>
      </c>
      <c r="L17" s="11" t="s">
        <v>320</v>
      </c>
      <c r="M17" s="11" t="s">
        <v>286</v>
      </c>
      <c r="N17" s="11" t="s">
        <v>286</v>
      </c>
      <c r="O17" s="11" t="s">
        <v>268</v>
      </c>
      <c r="P17" s="11" t="s">
        <v>269</v>
      </c>
      <c r="Q17" s="11" t="s">
        <v>349</v>
      </c>
      <c r="R17" s="11" t="s">
        <v>141</v>
      </c>
      <c r="S17" s="11" t="s">
        <v>330</v>
      </c>
      <c r="T17" s="18" t="s">
        <v>351</v>
      </c>
    </row>
    <row r="18" customFormat="false" ht="54" hidden="false" customHeight="true" outlineLevel="0" collapsed="false">
      <c r="B18" s="14" t="s">
        <v>62</v>
      </c>
      <c r="C18" s="9" t="s">
        <v>25</v>
      </c>
      <c r="D18" s="9" t="s">
        <v>356</v>
      </c>
      <c r="E18" s="9" t="s">
        <v>357</v>
      </c>
      <c r="F18" s="9" t="s">
        <v>358</v>
      </c>
      <c r="G18" s="9" t="s">
        <v>359</v>
      </c>
      <c r="H18" s="9" t="s">
        <v>359</v>
      </c>
      <c r="I18" s="9" t="s">
        <v>85</v>
      </c>
      <c r="J18" s="17" t="s">
        <v>360</v>
      </c>
      <c r="K18" s="9" t="s">
        <v>141</v>
      </c>
      <c r="L18" s="9" t="s">
        <v>359</v>
      </c>
      <c r="M18" s="9" t="s">
        <v>141</v>
      </c>
      <c r="N18" s="9" t="s">
        <v>141</v>
      </c>
      <c r="O18" s="9" t="s">
        <v>268</v>
      </c>
      <c r="P18" s="9" t="s">
        <v>361</v>
      </c>
      <c r="Q18" s="9" t="s">
        <v>362</v>
      </c>
      <c r="R18" s="9" t="s">
        <v>363</v>
      </c>
      <c r="S18" s="9" t="s">
        <v>364</v>
      </c>
      <c r="T18" s="18" t="s">
        <v>365</v>
      </c>
    </row>
    <row r="19" customFormat="false" ht="66" hidden="false" customHeight="true" outlineLevel="0" collapsed="false">
      <c r="B19" s="19" t="s">
        <v>29</v>
      </c>
      <c r="C19" s="11" t="s">
        <v>24</v>
      </c>
      <c r="D19" s="11" t="s">
        <v>366</v>
      </c>
      <c r="E19" s="11" t="s">
        <v>260</v>
      </c>
      <c r="F19" s="11" t="s">
        <v>367</v>
      </c>
      <c r="G19" s="11" t="s">
        <v>368</v>
      </c>
      <c r="H19" s="11" t="s">
        <v>369</v>
      </c>
      <c r="I19" s="11" t="s">
        <v>370</v>
      </c>
      <c r="J19" s="11" t="s">
        <v>371</v>
      </c>
      <c r="K19" s="11" t="s">
        <v>372</v>
      </c>
      <c r="L19" s="11" t="s">
        <v>373</v>
      </c>
      <c r="M19" s="11" t="s">
        <v>374</v>
      </c>
      <c r="N19" s="11" t="s">
        <v>375</v>
      </c>
      <c r="O19" s="13" t="s">
        <v>195</v>
      </c>
      <c r="P19" s="11" t="s">
        <v>376</v>
      </c>
      <c r="Q19" s="11" t="s">
        <v>377</v>
      </c>
      <c r="R19" s="11" t="s">
        <v>378</v>
      </c>
      <c r="S19" s="11" t="s">
        <v>379</v>
      </c>
      <c r="T19" s="15" t="s">
        <v>380</v>
      </c>
    </row>
    <row r="20" customFormat="false" ht="41.25" hidden="false" customHeight="true" outlineLevel="0" collapsed="false">
      <c r="B20" s="20" t="s">
        <v>34</v>
      </c>
      <c r="C20" s="9" t="s">
        <v>24</v>
      </c>
      <c r="D20" s="9" t="s">
        <v>326</v>
      </c>
      <c r="E20" s="9" t="s">
        <v>260</v>
      </c>
      <c r="F20" s="9" t="s">
        <v>381</v>
      </c>
      <c r="G20" s="9" t="s">
        <v>326</v>
      </c>
      <c r="H20" s="9" t="s">
        <v>326</v>
      </c>
      <c r="I20" s="9" t="s">
        <v>370</v>
      </c>
      <c r="J20" s="9" t="s">
        <v>382</v>
      </c>
      <c r="K20" s="9" t="s">
        <v>141</v>
      </c>
      <c r="L20" s="9" t="s">
        <v>383</v>
      </c>
      <c r="M20" s="9" t="s">
        <v>286</v>
      </c>
      <c r="N20" s="9" t="s">
        <v>375</v>
      </c>
      <c r="O20" s="17" t="s">
        <v>195</v>
      </c>
      <c r="P20" s="9" t="s">
        <v>326</v>
      </c>
      <c r="Q20" s="9" t="s">
        <v>326</v>
      </c>
      <c r="R20" s="9" t="s">
        <v>141</v>
      </c>
      <c r="S20" s="9" t="s">
        <v>92</v>
      </c>
      <c r="T20" s="15" t="s">
        <v>384</v>
      </c>
    </row>
    <row r="21" customFormat="false" ht="54" hidden="false" customHeight="true" outlineLevel="0" collapsed="false">
      <c r="B21" s="19" t="s">
        <v>38</v>
      </c>
      <c r="C21" s="11" t="s">
        <v>24</v>
      </c>
      <c r="D21" s="11" t="s">
        <v>385</v>
      </c>
      <c r="E21" s="11" t="s">
        <v>260</v>
      </c>
      <c r="F21" s="11" t="s">
        <v>12</v>
      </c>
      <c r="G21" s="11" t="s">
        <v>326</v>
      </c>
      <c r="H21" s="11" t="s">
        <v>326</v>
      </c>
      <c r="I21" s="11" t="s">
        <v>370</v>
      </c>
      <c r="J21" s="11" t="s">
        <v>386</v>
      </c>
      <c r="K21" s="11" t="s">
        <v>387</v>
      </c>
      <c r="L21" s="11" t="s">
        <v>388</v>
      </c>
      <c r="M21" s="11" t="s">
        <v>141</v>
      </c>
      <c r="N21" s="11" t="s">
        <v>141</v>
      </c>
      <c r="O21" s="13" t="s">
        <v>195</v>
      </c>
      <c r="P21" s="11" t="s">
        <v>269</v>
      </c>
      <c r="Q21" s="11" t="s">
        <v>389</v>
      </c>
      <c r="R21" s="11" t="s">
        <v>390</v>
      </c>
      <c r="S21" s="11" t="s">
        <v>391</v>
      </c>
      <c r="T21" s="15" t="s">
        <v>392</v>
      </c>
    </row>
    <row r="22" customFormat="false" ht="28.5" hidden="false" customHeight="true" outlineLevel="0" collapsed="false">
      <c r="B22" s="20" t="s">
        <v>42</v>
      </c>
      <c r="C22" s="9" t="s">
        <v>24</v>
      </c>
      <c r="D22" s="9" t="s">
        <v>41</v>
      </c>
      <c r="E22" s="9" t="s">
        <v>297</v>
      </c>
      <c r="F22" s="9" t="s">
        <v>41</v>
      </c>
      <c r="G22" s="17" t="s">
        <v>393</v>
      </c>
      <c r="H22" s="17" t="s">
        <v>393</v>
      </c>
      <c r="I22" s="17" t="s">
        <v>393</v>
      </c>
      <c r="J22" s="17" t="s">
        <v>393</v>
      </c>
      <c r="K22" s="9" t="s">
        <v>141</v>
      </c>
      <c r="L22" s="17" t="s">
        <v>393</v>
      </c>
      <c r="M22" s="17" t="s">
        <v>393</v>
      </c>
      <c r="N22" s="17" t="s">
        <v>393</v>
      </c>
      <c r="O22" s="17" t="s">
        <v>393</v>
      </c>
      <c r="P22" s="17" t="s">
        <v>393</v>
      </c>
      <c r="Q22" s="17" t="s">
        <v>393</v>
      </c>
      <c r="R22" s="17" t="s">
        <v>393</v>
      </c>
      <c r="S22" s="9" t="s">
        <v>141</v>
      </c>
      <c r="T22" s="18" t="s">
        <v>394</v>
      </c>
    </row>
    <row r="23" customFormat="false" ht="41.25" hidden="false" customHeight="true" outlineLevel="0" collapsed="false">
      <c r="B23" s="19" t="s">
        <v>47</v>
      </c>
      <c r="C23" s="11" t="s">
        <v>24</v>
      </c>
      <c r="D23" s="11" t="s">
        <v>116</v>
      </c>
      <c r="E23" s="11" t="s">
        <v>315</v>
      </c>
      <c r="F23" s="11" t="s">
        <v>395</v>
      </c>
      <c r="G23" s="11" t="s">
        <v>396</v>
      </c>
      <c r="H23" s="11" t="s">
        <v>397</v>
      </c>
      <c r="I23" s="13" t="s">
        <v>393</v>
      </c>
      <c r="J23" s="13" t="s">
        <v>398</v>
      </c>
      <c r="K23" s="11" t="s">
        <v>141</v>
      </c>
      <c r="L23" s="13" t="s">
        <v>393</v>
      </c>
      <c r="M23" s="13" t="s">
        <v>393</v>
      </c>
      <c r="N23" s="13" t="s">
        <v>393</v>
      </c>
      <c r="O23" s="13" t="s">
        <v>393</v>
      </c>
      <c r="P23" s="13" t="s">
        <v>393</v>
      </c>
      <c r="Q23" s="13" t="s">
        <v>393</v>
      </c>
      <c r="R23" s="11" t="s">
        <v>399</v>
      </c>
      <c r="S23" s="11" t="s">
        <v>400</v>
      </c>
      <c r="T23" s="18" t="s">
        <v>401</v>
      </c>
    </row>
    <row r="24" customFormat="false" ht="66" hidden="false" customHeight="true" outlineLevel="0" collapsed="false">
      <c r="B24" s="20" t="s">
        <v>51</v>
      </c>
      <c r="C24" s="9" t="s">
        <v>24</v>
      </c>
      <c r="D24" s="9" t="s">
        <v>402</v>
      </c>
      <c r="E24" s="9" t="s">
        <v>315</v>
      </c>
      <c r="F24" s="9" t="s">
        <v>403</v>
      </c>
      <c r="G24" s="9" t="s">
        <v>404</v>
      </c>
      <c r="H24" s="9" t="s">
        <v>405</v>
      </c>
      <c r="I24" s="17" t="s">
        <v>393</v>
      </c>
      <c r="J24" s="17" t="s">
        <v>406</v>
      </c>
      <c r="K24" s="9" t="s">
        <v>141</v>
      </c>
      <c r="L24" s="17" t="s">
        <v>393</v>
      </c>
      <c r="M24" s="17" t="s">
        <v>393</v>
      </c>
      <c r="N24" s="17" t="s">
        <v>393</v>
      </c>
      <c r="O24" s="17" t="s">
        <v>393</v>
      </c>
      <c r="P24" s="17" t="s">
        <v>393</v>
      </c>
      <c r="Q24" s="9" t="s">
        <v>407</v>
      </c>
      <c r="R24" s="9" t="s">
        <v>141</v>
      </c>
      <c r="S24" s="9" t="s">
        <v>408</v>
      </c>
      <c r="T24" s="18" t="s">
        <v>409</v>
      </c>
    </row>
    <row r="25" customFormat="false" ht="41.25" hidden="false" customHeight="true" outlineLevel="0" collapsed="false">
      <c r="B25" s="19" t="s">
        <v>55</v>
      </c>
      <c r="C25" s="11" t="s">
        <v>24</v>
      </c>
      <c r="D25" s="11" t="s">
        <v>410</v>
      </c>
      <c r="E25" s="11" t="s">
        <v>260</v>
      </c>
      <c r="F25" s="11" t="s">
        <v>411</v>
      </c>
      <c r="G25" s="11" t="s">
        <v>412</v>
      </c>
      <c r="H25" s="13" t="s">
        <v>393</v>
      </c>
      <c r="I25" s="13" t="s">
        <v>393</v>
      </c>
      <c r="J25" s="13" t="s">
        <v>393</v>
      </c>
      <c r="K25" s="11" t="s">
        <v>141</v>
      </c>
      <c r="L25" s="13" t="s">
        <v>393</v>
      </c>
      <c r="M25" s="13" t="s">
        <v>393</v>
      </c>
      <c r="N25" s="13" t="s">
        <v>393</v>
      </c>
      <c r="O25" s="13" t="s">
        <v>393</v>
      </c>
      <c r="P25" s="13" t="s">
        <v>393</v>
      </c>
      <c r="Q25" s="13" t="s">
        <v>393</v>
      </c>
      <c r="R25" s="11" t="s">
        <v>413</v>
      </c>
      <c r="S25" s="11" t="s">
        <v>121</v>
      </c>
      <c r="T25" s="18" t="s">
        <v>414</v>
      </c>
    </row>
    <row r="26" customFormat="false" ht="28.5" hidden="false" customHeight="true" outlineLevel="0" collapsed="false">
      <c r="B26" s="20" t="s">
        <v>58</v>
      </c>
      <c r="C26" s="9" t="s">
        <v>24</v>
      </c>
      <c r="D26" s="9" t="s">
        <v>57</v>
      </c>
      <c r="E26" s="9" t="s">
        <v>315</v>
      </c>
      <c r="F26" s="9" t="s">
        <v>411</v>
      </c>
      <c r="G26" s="17" t="s">
        <v>393</v>
      </c>
      <c r="H26" s="17" t="s">
        <v>393</v>
      </c>
      <c r="I26" s="17" t="s">
        <v>393</v>
      </c>
      <c r="J26" s="17" t="s">
        <v>393</v>
      </c>
      <c r="K26" s="9" t="s">
        <v>141</v>
      </c>
      <c r="L26" s="17" t="s">
        <v>393</v>
      </c>
      <c r="M26" s="17" t="s">
        <v>393</v>
      </c>
      <c r="N26" s="17" t="s">
        <v>393</v>
      </c>
      <c r="O26" s="17" t="s">
        <v>393</v>
      </c>
      <c r="P26" s="17" t="s">
        <v>393</v>
      </c>
      <c r="Q26" s="17" t="s">
        <v>393</v>
      </c>
      <c r="R26" s="17" t="s">
        <v>393</v>
      </c>
      <c r="S26" s="9" t="s">
        <v>141</v>
      </c>
      <c r="T26" s="18" t="s">
        <v>415</v>
      </c>
    </row>
    <row r="27" customFormat="false" ht="41.25" hidden="false" customHeight="true" outlineLevel="0" collapsed="false">
      <c r="B27" s="19" t="s">
        <v>61</v>
      </c>
      <c r="C27" s="11" t="s">
        <v>24</v>
      </c>
      <c r="D27" s="11" t="s">
        <v>60</v>
      </c>
      <c r="E27" s="11" t="s">
        <v>357</v>
      </c>
      <c r="F27" s="11" t="s">
        <v>60</v>
      </c>
      <c r="G27" s="13" t="s">
        <v>393</v>
      </c>
      <c r="H27" s="13" t="s">
        <v>393</v>
      </c>
      <c r="I27" s="13" t="s">
        <v>393</v>
      </c>
      <c r="J27" s="13" t="s">
        <v>416</v>
      </c>
      <c r="K27" s="11" t="s">
        <v>141</v>
      </c>
      <c r="L27" s="13" t="s">
        <v>393</v>
      </c>
      <c r="M27" s="13" t="s">
        <v>393</v>
      </c>
      <c r="N27" s="13" t="s">
        <v>393</v>
      </c>
      <c r="O27" s="13" t="s">
        <v>393</v>
      </c>
      <c r="P27" s="13" t="s">
        <v>393</v>
      </c>
      <c r="Q27" s="13" t="s">
        <v>393</v>
      </c>
      <c r="R27" s="11" t="s">
        <v>417</v>
      </c>
      <c r="S27" s="11" t="s">
        <v>121</v>
      </c>
      <c r="T27" s="18" t="s">
        <v>418</v>
      </c>
    </row>
  </sheetData>
  <autoFilter ref="B5:T27"/>
  <mergeCells count="3">
    <mergeCell ref="B1:U1"/>
    <mergeCell ref="B2:U2"/>
    <mergeCell ref="B3:U3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&amp;C&amp;"Arial,Regular"Heijmans Vastgoed | SWK vs. Woningborg | 3 Producten en tarieven&amp;R&amp;"Arial,Regular"Pagina &amp;P van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2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7" min="6" style="0" width="18"/>
    <col collapsed="false" customWidth="true" hidden="false" outlineLevel="0" max="8" min="8" style="0" width="22"/>
    <col collapsed="false" customWidth="true" hidden="false" outlineLevel="0" max="9" min="9" style="0" width="34"/>
    <col collapsed="false" customWidth="true" hidden="false" outlineLevel="0" max="10" min="10" style="0" width="16"/>
    <col collapsed="false" customWidth="true" hidden="false" outlineLevel="0" max="11" min="11" style="0" width="34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1.5" hidden="false" customHeight="true" outlineLevel="0" collapsed="false">
      <c r="B2" s="2" t="s">
        <v>419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B3" s="3" t="s">
        <v>420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30" hidden="false" customHeight="true" outlineLevel="0" collapsed="false">
      <c r="B5" s="7" t="s">
        <v>66</v>
      </c>
      <c r="C5" s="7" t="s">
        <v>68</v>
      </c>
      <c r="D5" s="7" t="s">
        <v>421</v>
      </c>
      <c r="E5" s="7" t="s">
        <v>422</v>
      </c>
      <c r="F5" s="7" t="s">
        <v>423</v>
      </c>
      <c r="G5" s="7" t="s">
        <v>424</v>
      </c>
      <c r="H5" s="7" t="s">
        <v>425</v>
      </c>
      <c r="I5" s="7" t="s">
        <v>426</v>
      </c>
      <c r="J5" s="7" t="s">
        <v>427</v>
      </c>
      <c r="K5" s="7" t="s">
        <v>428</v>
      </c>
      <c r="L5" s="7" t="s">
        <v>257</v>
      </c>
      <c r="M5" s="7" t="s">
        <v>78</v>
      </c>
    </row>
    <row r="6" customFormat="false" ht="28.5" hidden="false" customHeight="true" outlineLevel="0" collapsed="false">
      <c r="B6" s="9" t="s">
        <v>429</v>
      </c>
      <c r="C6" s="9" t="s">
        <v>25</v>
      </c>
      <c r="D6" s="9" t="s">
        <v>430</v>
      </c>
      <c r="E6" s="9" t="s">
        <v>431</v>
      </c>
      <c r="F6" s="9" t="s">
        <v>432</v>
      </c>
      <c r="G6" s="9" t="s">
        <v>433</v>
      </c>
      <c r="H6" s="9" t="s">
        <v>434</v>
      </c>
      <c r="I6" s="9" t="s">
        <v>435</v>
      </c>
      <c r="J6" s="9" t="s">
        <v>436</v>
      </c>
      <c r="K6" s="9" t="s">
        <v>437</v>
      </c>
      <c r="L6" s="9" t="s">
        <v>438</v>
      </c>
      <c r="M6" s="9" t="s">
        <v>439</v>
      </c>
    </row>
    <row r="7" customFormat="false" ht="28.5" hidden="false" customHeight="true" outlineLevel="0" collapsed="false">
      <c r="B7" s="11" t="s">
        <v>440</v>
      </c>
      <c r="C7" s="11" t="s">
        <v>25</v>
      </c>
      <c r="D7" s="11" t="s">
        <v>441</v>
      </c>
      <c r="E7" s="11" t="s">
        <v>442</v>
      </c>
      <c r="F7" s="11" t="s">
        <v>443</v>
      </c>
      <c r="G7" s="11" t="s">
        <v>444</v>
      </c>
      <c r="H7" s="11" t="s">
        <v>434</v>
      </c>
      <c r="I7" s="11" t="s">
        <v>411</v>
      </c>
      <c r="J7" s="11" t="s">
        <v>436</v>
      </c>
      <c r="K7" s="11" t="s">
        <v>326</v>
      </c>
      <c r="L7" s="11" t="s">
        <v>445</v>
      </c>
      <c r="M7" s="11" t="s">
        <v>439</v>
      </c>
    </row>
    <row r="8" customFormat="false" ht="41.25" hidden="false" customHeight="true" outlineLevel="0" collapsed="false">
      <c r="B8" s="9" t="s">
        <v>446</v>
      </c>
      <c r="C8" s="9" t="s">
        <v>25</v>
      </c>
      <c r="D8" s="9" t="s">
        <v>447</v>
      </c>
      <c r="E8" s="9" t="s">
        <v>448</v>
      </c>
      <c r="F8" s="9" t="s">
        <v>141</v>
      </c>
      <c r="G8" s="9" t="s">
        <v>141</v>
      </c>
      <c r="H8" s="9" t="s">
        <v>141</v>
      </c>
      <c r="I8" s="9" t="s">
        <v>411</v>
      </c>
      <c r="J8" s="9" t="s">
        <v>141</v>
      </c>
      <c r="K8" s="9" t="s">
        <v>449</v>
      </c>
      <c r="L8" s="9" t="s">
        <v>445</v>
      </c>
      <c r="M8" s="9" t="s">
        <v>439</v>
      </c>
    </row>
    <row r="9" customFormat="false" ht="41.25" hidden="false" customHeight="true" outlineLevel="0" collapsed="false">
      <c r="B9" s="11" t="s">
        <v>450</v>
      </c>
      <c r="C9" s="11" t="s">
        <v>25</v>
      </c>
      <c r="D9" s="11" t="s">
        <v>451</v>
      </c>
      <c r="E9" s="11" t="s">
        <v>452</v>
      </c>
      <c r="F9" s="11" t="s">
        <v>453</v>
      </c>
      <c r="G9" s="11" t="s">
        <v>454</v>
      </c>
      <c r="H9" s="11" t="s">
        <v>455</v>
      </c>
      <c r="I9" s="11" t="s">
        <v>456</v>
      </c>
      <c r="J9" s="11" t="s">
        <v>457</v>
      </c>
      <c r="K9" s="11" t="s">
        <v>458</v>
      </c>
      <c r="L9" s="11" t="s">
        <v>459</v>
      </c>
      <c r="M9" s="11" t="s">
        <v>439</v>
      </c>
    </row>
    <row r="10" customFormat="false" ht="41.25" hidden="false" customHeight="true" outlineLevel="0" collapsed="false">
      <c r="B10" s="9" t="s">
        <v>460</v>
      </c>
      <c r="C10" s="9" t="s">
        <v>25</v>
      </c>
      <c r="D10" s="9" t="s">
        <v>461</v>
      </c>
      <c r="E10" s="9" t="s">
        <v>462</v>
      </c>
      <c r="F10" s="9" t="s">
        <v>463</v>
      </c>
      <c r="G10" s="9" t="s">
        <v>454</v>
      </c>
      <c r="H10" s="9" t="s">
        <v>326</v>
      </c>
      <c r="I10" s="9" t="s">
        <v>464</v>
      </c>
      <c r="J10" s="9" t="s">
        <v>465</v>
      </c>
      <c r="K10" s="9" t="s">
        <v>466</v>
      </c>
      <c r="L10" s="9" t="s">
        <v>459</v>
      </c>
      <c r="M10" s="9" t="s">
        <v>439</v>
      </c>
    </row>
    <row r="11" customFormat="false" ht="16.5" hidden="false" customHeight="true" outlineLevel="0" collapsed="false">
      <c r="B11" s="11" t="s">
        <v>467</v>
      </c>
      <c r="C11" s="11" t="s">
        <v>25</v>
      </c>
      <c r="D11" s="11" t="s">
        <v>468</v>
      </c>
      <c r="E11" s="11" t="s">
        <v>469</v>
      </c>
      <c r="F11" s="11" t="s">
        <v>470</v>
      </c>
      <c r="G11" s="11" t="s">
        <v>471</v>
      </c>
      <c r="H11" s="11" t="s">
        <v>472</v>
      </c>
      <c r="I11" s="11" t="s">
        <v>473</v>
      </c>
      <c r="J11" s="11" t="s">
        <v>465</v>
      </c>
      <c r="K11" s="11" t="s">
        <v>141</v>
      </c>
      <c r="L11" s="11" t="s">
        <v>459</v>
      </c>
      <c r="M11" s="11" t="s">
        <v>439</v>
      </c>
    </row>
    <row r="12" customFormat="false" ht="16.5" hidden="false" customHeight="true" outlineLevel="0" collapsed="false">
      <c r="B12" s="9" t="s">
        <v>474</v>
      </c>
      <c r="C12" s="9" t="s">
        <v>25</v>
      </c>
      <c r="D12" s="9" t="s">
        <v>475</v>
      </c>
      <c r="E12" s="9" t="s">
        <v>476</v>
      </c>
      <c r="F12" s="9" t="s">
        <v>470</v>
      </c>
      <c r="G12" s="9" t="s">
        <v>471</v>
      </c>
      <c r="H12" s="9" t="s">
        <v>472</v>
      </c>
      <c r="I12" s="9" t="s">
        <v>473</v>
      </c>
      <c r="J12" s="9" t="s">
        <v>465</v>
      </c>
      <c r="K12" s="9" t="s">
        <v>141</v>
      </c>
      <c r="L12" s="9" t="s">
        <v>459</v>
      </c>
      <c r="M12" s="9" t="s">
        <v>439</v>
      </c>
    </row>
    <row r="13" customFormat="false" ht="28.5" hidden="false" customHeight="true" outlineLevel="0" collapsed="false">
      <c r="B13" s="11" t="s">
        <v>477</v>
      </c>
      <c r="C13" s="11" t="s">
        <v>25</v>
      </c>
      <c r="D13" s="11" t="s">
        <v>478</v>
      </c>
      <c r="E13" s="11" t="s">
        <v>479</v>
      </c>
      <c r="F13" s="11" t="s">
        <v>470</v>
      </c>
      <c r="G13" s="11" t="s">
        <v>480</v>
      </c>
      <c r="H13" s="11" t="s">
        <v>472</v>
      </c>
      <c r="I13" s="11" t="s">
        <v>481</v>
      </c>
      <c r="J13" s="11" t="s">
        <v>465</v>
      </c>
      <c r="K13" s="11" t="s">
        <v>141</v>
      </c>
      <c r="L13" s="11" t="s">
        <v>459</v>
      </c>
      <c r="M13" s="11" t="s">
        <v>439</v>
      </c>
    </row>
    <row r="14" customFormat="false" ht="28.5" hidden="false" customHeight="true" outlineLevel="0" collapsed="false">
      <c r="B14" s="9" t="s">
        <v>482</v>
      </c>
      <c r="C14" s="9" t="s">
        <v>25</v>
      </c>
      <c r="D14" s="9" t="s">
        <v>483</v>
      </c>
      <c r="E14" s="9" t="s">
        <v>469</v>
      </c>
      <c r="F14" s="9" t="s">
        <v>470</v>
      </c>
      <c r="G14" s="9" t="s">
        <v>471</v>
      </c>
      <c r="H14" s="9" t="s">
        <v>472</v>
      </c>
      <c r="I14" s="9" t="s">
        <v>484</v>
      </c>
      <c r="J14" s="9" t="s">
        <v>465</v>
      </c>
      <c r="K14" s="9" t="s">
        <v>141</v>
      </c>
      <c r="L14" s="9" t="s">
        <v>459</v>
      </c>
      <c r="M14" s="9" t="s">
        <v>439</v>
      </c>
    </row>
    <row r="15" customFormat="false" ht="28.5" hidden="false" customHeight="true" outlineLevel="0" collapsed="false">
      <c r="B15" s="11" t="s">
        <v>485</v>
      </c>
      <c r="C15" s="11" t="s">
        <v>25</v>
      </c>
      <c r="D15" s="11" t="s">
        <v>486</v>
      </c>
      <c r="E15" s="11" t="s">
        <v>487</v>
      </c>
      <c r="F15" s="11" t="s">
        <v>470</v>
      </c>
      <c r="G15" s="11" t="s">
        <v>471</v>
      </c>
      <c r="H15" s="11" t="s">
        <v>472</v>
      </c>
      <c r="I15" s="11" t="s">
        <v>488</v>
      </c>
      <c r="J15" s="11" t="s">
        <v>465</v>
      </c>
      <c r="K15" s="11" t="s">
        <v>141</v>
      </c>
      <c r="L15" s="11" t="s">
        <v>459</v>
      </c>
      <c r="M15" s="11" t="s">
        <v>439</v>
      </c>
    </row>
    <row r="16" customFormat="false" ht="28.5" hidden="false" customHeight="true" outlineLevel="0" collapsed="false">
      <c r="B16" s="9" t="s">
        <v>489</v>
      </c>
      <c r="C16" s="9" t="s">
        <v>25</v>
      </c>
      <c r="D16" s="9" t="s">
        <v>12</v>
      </c>
      <c r="E16" s="9" t="s">
        <v>490</v>
      </c>
      <c r="F16" s="9" t="s">
        <v>265</v>
      </c>
      <c r="G16" s="9" t="s">
        <v>491</v>
      </c>
      <c r="H16" s="9" t="s">
        <v>492</v>
      </c>
      <c r="I16" s="9" t="s">
        <v>493</v>
      </c>
      <c r="J16" s="9" t="s">
        <v>269</v>
      </c>
      <c r="K16" s="9" t="s">
        <v>494</v>
      </c>
      <c r="L16" s="9" t="s">
        <v>495</v>
      </c>
      <c r="M16" s="9" t="s">
        <v>439</v>
      </c>
    </row>
    <row r="17" customFormat="false" ht="16.5" hidden="false" customHeight="true" outlineLevel="0" collapsed="false">
      <c r="B17" s="11" t="s">
        <v>496</v>
      </c>
      <c r="C17" s="11" t="s">
        <v>25</v>
      </c>
      <c r="D17" s="11" t="s">
        <v>497</v>
      </c>
      <c r="E17" s="13" t="s">
        <v>416</v>
      </c>
      <c r="F17" s="11" t="s">
        <v>141</v>
      </c>
      <c r="G17" s="11" t="s">
        <v>141</v>
      </c>
      <c r="H17" s="11" t="s">
        <v>141</v>
      </c>
      <c r="I17" s="11" t="s">
        <v>498</v>
      </c>
      <c r="J17" s="11" t="s">
        <v>141</v>
      </c>
      <c r="K17" s="11" t="s">
        <v>499</v>
      </c>
      <c r="L17" s="11" t="s">
        <v>459</v>
      </c>
      <c r="M17" s="11" t="s">
        <v>439</v>
      </c>
    </row>
    <row r="18" customFormat="false" ht="28.5" hidden="false" customHeight="true" outlineLevel="0" collapsed="false">
      <c r="B18" s="9" t="s">
        <v>500</v>
      </c>
      <c r="C18" s="9" t="s">
        <v>25</v>
      </c>
      <c r="D18" s="9" t="s">
        <v>501</v>
      </c>
      <c r="E18" s="17" t="s">
        <v>393</v>
      </c>
      <c r="F18" s="9" t="s">
        <v>141</v>
      </c>
      <c r="G18" s="9" t="s">
        <v>141</v>
      </c>
      <c r="H18" s="9" t="s">
        <v>141</v>
      </c>
      <c r="I18" s="9" t="s">
        <v>141</v>
      </c>
      <c r="J18" s="9" t="s">
        <v>141</v>
      </c>
      <c r="K18" s="9" t="s">
        <v>141</v>
      </c>
      <c r="L18" s="9" t="s">
        <v>141</v>
      </c>
      <c r="M18" s="9" t="s">
        <v>141</v>
      </c>
    </row>
    <row r="19" customFormat="false" ht="41.25" hidden="false" customHeight="true" outlineLevel="0" collapsed="false">
      <c r="B19" s="11" t="s">
        <v>502</v>
      </c>
      <c r="C19" s="11" t="s">
        <v>24</v>
      </c>
      <c r="D19" s="11" t="s">
        <v>503</v>
      </c>
      <c r="E19" s="11" t="s">
        <v>504</v>
      </c>
      <c r="F19" s="11" t="s">
        <v>505</v>
      </c>
      <c r="G19" s="11" t="s">
        <v>506</v>
      </c>
      <c r="H19" s="13" t="s">
        <v>195</v>
      </c>
      <c r="I19" s="11" t="s">
        <v>507</v>
      </c>
      <c r="J19" s="11" t="s">
        <v>508</v>
      </c>
      <c r="K19" s="11" t="s">
        <v>509</v>
      </c>
      <c r="L19" s="11" t="s">
        <v>510</v>
      </c>
      <c r="M19" s="11" t="s">
        <v>511</v>
      </c>
    </row>
    <row r="20" customFormat="false" ht="28.5" hidden="false" customHeight="true" outlineLevel="0" collapsed="false">
      <c r="B20" s="9" t="s">
        <v>512</v>
      </c>
      <c r="C20" s="9" t="s">
        <v>24</v>
      </c>
      <c r="D20" s="9" t="s">
        <v>513</v>
      </c>
      <c r="E20" s="9" t="s">
        <v>514</v>
      </c>
      <c r="F20" s="9" t="s">
        <v>515</v>
      </c>
      <c r="G20" s="9" t="s">
        <v>388</v>
      </c>
      <c r="H20" s="17" t="s">
        <v>195</v>
      </c>
      <c r="I20" s="9" t="s">
        <v>516</v>
      </c>
      <c r="J20" s="9" t="s">
        <v>269</v>
      </c>
      <c r="K20" s="9" t="s">
        <v>517</v>
      </c>
      <c r="L20" s="9" t="s">
        <v>518</v>
      </c>
      <c r="M20" s="9" t="s">
        <v>511</v>
      </c>
    </row>
    <row r="21" customFormat="false" ht="41.25" hidden="false" customHeight="true" outlineLevel="0" collapsed="false">
      <c r="B21" s="11" t="s">
        <v>519</v>
      </c>
      <c r="C21" s="11" t="s">
        <v>24</v>
      </c>
      <c r="D21" s="11" t="s">
        <v>520</v>
      </c>
      <c r="E21" s="11" t="s">
        <v>521</v>
      </c>
      <c r="F21" s="11" t="s">
        <v>387</v>
      </c>
      <c r="G21" s="11" t="s">
        <v>388</v>
      </c>
      <c r="H21" s="13" t="s">
        <v>195</v>
      </c>
      <c r="I21" s="11" t="s">
        <v>522</v>
      </c>
      <c r="J21" s="11" t="s">
        <v>269</v>
      </c>
      <c r="K21" s="11" t="s">
        <v>141</v>
      </c>
      <c r="L21" s="11" t="s">
        <v>523</v>
      </c>
      <c r="M21" s="11" t="s">
        <v>511</v>
      </c>
    </row>
    <row r="22" customFormat="false" ht="28.5" hidden="false" customHeight="true" outlineLevel="0" collapsed="false">
      <c r="B22" s="9" t="s">
        <v>524</v>
      </c>
      <c r="C22" s="9" t="s">
        <v>24</v>
      </c>
      <c r="D22" s="9" t="s">
        <v>525</v>
      </c>
      <c r="E22" s="9" t="s">
        <v>521</v>
      </c>
      <c r="F22" s="9" t="s">
        <v>526</v>
      </c>
      <c r="G22" s="9" t="s">
        <v>527</v>
      </c>
      <c r="H22" s="17" t="s">
        <v>195</v>
      </c>
      <c r="I22" s="9" t="s">
        <v>528</v>
      </c>
      <c r="J22" s="9" t="s">
        <v>269</v>
      </c>
      <c r="K22" s="9" t="s">
        <v>141</v>
      </c>
      <c r="L22" s="9" t="s">
        <v>529</v>
      </c>
      <c r="M22" s="9" t="s">
        <v>511</v>
      </c>
    </row>
    <row r="23" customFormat="false" ht="41.25" hidden="false" customHeight="true" outlineLevel="0" collapsed="false">
      <c r="B23" s="11" t="s">
        <v>530</v>
      </c>
      <c r="C23" s="11" t="s">
        <v>24</v>
      </c>
      <c r="D23" s="11" t="s">
        <v>531</v>
      </c>
      <c r="E23" s="13" t="s">
        <v>416</v>
      </c>
      <c r="F23" s="11" t="s">
        <v>141</v>
      </c>
      <c r="G23" s="11" t="s">
        <v>141</v>
      </c>
      <c r="H23" s="11" t="s">
        <v>141</v>
      </c>
      <c r="I23" s="11" t="s">
        <v>532</v>
      </c>
      <c r="J23" s="11" t="s">
        <v>269</v>
      </c>
      <c r="K23" s="11" t="s">
        <v>533</v>
      </c>
      <c r="L23" s="11" t="s">
        <v>534</v>
      </c>
      <c r="M23" s="11" t="s">
        <v>114</v>
      </c>
    </row>
    <row r="24" customFormat="false" ht="28.5" hidden="false" customHeight="true" outlineLevel="0" collapsed="false">
      <c r="B24" s="9" t="s">
        <v>535</v>
      </c>
      <c r="C24" s="9" t="s">
        <v>24</v>
      </c>
      <c r="D24" s="9" t="s">
        <v>536</v>
      </c>
      <c r="E24" s="17" t="s">
        <v>393</v>
      </c>
      <c r="F24" s="9" t="s">
        <v>141</v>
      </c>
      <c r="G24" s="9" t="s">
        <v>141</v>
      </c>
      <c r="H24" s="9" t="s">
        <v>141</v>
      </c>
      <c r="I24" s="9" t="s">
        <v>537</v>
      </c>
      <c r="J24" s="9" t="s">
        <v>141</v>
      </c>
      <c r="K24" s="9" t="s">
        <v>538</v>
      </c>
      <c r="L24" s="9" t="s">
        <v>539</v>
      </c>
      <c r="M24" s="9" t="s">
        <v>511</v>
      </c>
    </row>
    <row r="25" customFormat="false" ht="28.5" hidden="false" customHeight="true" outlineLevel="0" collapsed="false">
      <c r="B25" s="11" t="s">
        <v>540</v>
      </c>
      <c r="C25" s="11" t="s">
        <v>24</v>
      </c>
      <c r="D25" s="11" t="s">
        <v>541</v>
      </c>
      <c r="E25" s="13" t="s">
        <v>393</v>
      </c>
      <c r="F25" s="11" t="s">
        <v>141</v>
      </c>
      <c r="G25" s="11" t="s">
        <v>141</v>
      </c>
      <c r="H25" s="11" t="s">
        <v>141</v>
      </c>
      <c r="I25" s="11" t="s">
        <v>141</v>
      </c>
      <c r="J25" s="11" t="s">
        <v>141</v>
      </c>
      <c r="K25" s="11" t="s">
        <v>141</v>
      </c>
      <c r="L25" s="11" t="s">
        <v>141</v>
      </c>
      <c r="M25" s="11" t="s">
        <v>141</v>
      </c>
    </row>
    <row r="26" customFormat="false" ht="41.25" hidden="false" customHeight="true" outlineLevel="0" collapsed="false">
      <c r="B26" s="9" t="s">
        <v>542</v>
      </c>
      <c r="C26" s="9" t="s">
        <v>24</v>
      </c>
      <c r="D26" s="9" t="s">
        <v>543</v>
      </c>
      <c r="E26" s="17" t="s">
        <v>393</v>
      </c>
      <c r="F26" s="9" t="s">
        <v>141</v>
      </c>
      <c r="G26" s="9" t="s">
        <v>141</v>
      </c>
      <c r="H26" s="9" t="s">
        <v>141</v>
      </c>
      <c r="I26" s="9" t="s">
        <v>141</v>
      </c>
      <c r="J26" s="9" t="s">
        <v>141</v>
      </c>
      <c r="K26" s="9" t="s">
        <v>141</v>
      </c>
      <c r="L26" s="9" t="s">
        <v>141</v>
      </c>
      <c r="M26" s="9" t="s">
        <v>141</v>
      </c>
    </row>
    <row r="27" customFormat="false" ht="28.5" hidden="false" customHeight="true" outlineLevel="0" collapsed="false">
      <c r="B27" s="11" t="s">
        <v>544</v>
      </c>
      <c r="C27" s="11" t="s">
        <v>24</v>
      </c>
      <c r="D27" s="11" t="s">
        <v>545</v>
      </c>
      <c r="E27" s="13" t="s">
        <v>393</v>
      </c>
      <c r="F27" s="11" t="s">
        <v>141</v>
      </c>
      <c r="G27" s="11" t="s">
        <v>141</v>
      </c>
      <c r="H27" s="11" t="s">
        <v>141</v>
      </c>
      <c r="I27" s="11" t="s">
        <v>141</v>
      </c>
      <c r="J27" s="11" t="s">
        <v>141</v>
      </c>
      <c r="K27" s="11" t="s">
        <v>141</v>
      </c>
      <c r="L27" s="11" t="s">
        <v>141</v>
      </c>
      <c r="M27" s="11" t="s">
        <v>141</v>
      </c>
    </row>
    <row r="28" customFormat="false" ht="41.25" hidden="false" customHeight="true" outlineLevel="0" collapsed="false">
      <c r="B28" s="9" t="s">
        <v>546</v>
      </c>
      <c r="C28" s="9" t="s">
        <v>547</v>
      </c>
      <c r="D28" s="9" t="s">
        <v>548</v>
      </c>
      <c r="E28" s="9" t="s">
        <v>549</v>
      </c>
      <c r="F28" s="9" t="s">
        <v>550</v>
      </c>
      <c r="G28" s="9" t="s">
        <v>141</v>
      </c>
      <c r="H28" s="9" t="s">
        <v>551</v>
      </c>
      <c r="I28" s="9" t="s">
        <v>552</v>
      </c>
      <c r="J28" s="9" t="s">
        <v>141</v>
      </c>
      <c r="K28" s="9" t="s">
        <v>553</v>
      </c>
      <c r="L28" s="9" t="s">
        <v>554</v>
      </c>
      <c r="M28" s="9" t="s">
        <v>114</v>
      </c>
    </row>
  </sheetData>
  <autoFilter ref="B5:M28"/>
  <mergeCells count="3">
    <mergeCell ref="B1:M1"/>
    <mergeCell ref="B2:M2"/>
    <mergeCell ref="B3:M3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&amp;C&amp;"Arial,Regular"Heijmans Vastgoed | SWK vs. Woningborg | 4 Bijkomende kosten&amp;R&amp;"Arial,Regular"Pagina &amp;P van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5" min="4" style="0" width="60"/>
    <col collapsed="false" customWidth="true" hidden="false" outlineLevel="0" max="6" min="6" style="0" width="26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</row>
    <row r="2" customFormat="false" ht="31.5" hidden="false" customHeight="true" outlineLevel="0" collapsed="false">
      <c r="B2" s="2" t="s">
        <v>555</v>
      </c>
      <c r="C2" s="2"/>
      <c r="D2" s="2"/>
      <c r="E2" s="2"/>
      <c r="F2" s="2"/>
    </row>
    <row r="3" customFormat="false" ht="15" hidden="false" customHeight="false" outlineLevel="0" collapsed="false">
      <c r="B3" s="3" t="s">
        <v>556</v>
      </c>
      <c r="C3" s="3"/>
      <c r="D3" s="3"/>
      <c r="E3" s="3"/>
      <c r="F3" s="3"/>
    </row>
    <row r="5" customFormat="false" ht="30" hidden="false" customHeight="true" outlineLevel="0" collapsed="false">
      <c r="B5" s="7" t="s">
        <v>557</v>
      </c>
      <c r="C5" s="7" t="s">
        <v>558</v>
      </c>
      <c r="D5" s="7" t="s">
        <v>24</v>
      </c>
      <c r="E5" s="7" t="s">
        <v>25</v>
      </c>
      <c r="F5" s="7" t="s">
        <v>559</v>
      </c>
    </row>
    <row r="6" customFormat="false" ht="28.5" hidden="false" customHeight="true" outlineLevel="0" collapsed="false">
      <c r="B6" s="9" t="s">
        <v>560</v>
      </c>
      <c r="C6" s="9" t="s">
        <v>561</v>
      </c>
      <c r="D6" s="9" t="s">
        <v>562</v>
      </c>
      <c r="E6" s="9" t="s">
        <v>563</v>
      </c>
      <c r="F6" s="9" t="s">
        <v>564</v>
      </c>
    </row>
    <row r="7" customFormat="false" ht="28.5" hidden="false" customHeight="true" outlineLevel="0" collapsed="false">
      <c r="B7" s="11" t="s">
        <v>565</v>
      </c>
      <c r="C7" s="11" t="s">
        <v>566</v>
      </c>
      <c r="D7" s="11" t="s">
        <v>567</v>
      </c>
      <c r="E7" s="11" t="s">
        <v>568</v>
      </c>
      <c r="F7" s="11" t="s">
        <v>569</v>
      </c>
    </row>
    <row r="8" customFormat="false" ht="41.25" hidden="false" customHeight="true" outlineLevel="0" collapsed="false">
      <c r="B8" s="9" t="s">
        <v>570</v>
      </c>
      <c r="C8" s="9" t="s">
        <v>571</v>
      </c>
      <c r="D8" s="9" t="s">
        <v>572</v>
      </c>
      <c r="E8" s="9" t="s">
        <v>573</v>
      </c>
      <c r="F8" s="9" t="s">
        <v>225</v>
      </c>
    </row>
    <row r="9" customFormat="false" ht="28.5" hidden="false" customHeight="true" outlineLevel="0" collapsed="false">
      <c r="B9" s="11" t="s">
        <v>574</v>
      </c>
      <c r="C9" s="11" t="s">
        <v>575</v>
      </c>
      <c r="D9" s="11" t="s">
        <v>576</v>
      </c>
      <c r="E9" s="11" t="s">
        <v>577</v>
      </c>
      <c r="F9" s="11" t="s">
        <v>578</v>
      </c>
    </row>
    <row r="10" customFormat="false" ht="28.5" hidden="false" customHeight="true" outlineLevel="0" collapsed="false">
      <c r="B10" s="9" t="s">
        <v>579</v>
      </c>
      <c r="C10" s="9" t="s">
        <v>580</v>
      </c>
      <c r="D10" s="9" t="s">
        <v>581</v>
      </c>
      <c r="E10" s="9" t="s">
        <v>582</v>
      </c>
      <c r="F10" s="9" t="s">
        <v>10</v>
      </c>
    </row>
    <row r="11" customFormat="false" ht="28.5" hidden="false" customHeight="true" outlineLevel="0" collapsed="false">
      <c r="B11" s="11" t="s">
        <v>583</v>
      </c>
      <c r="C11" s="11" t="s">
        <v>584</v>
      </c>
      <c r="D11" s="11" t="s">
        <v>585</v>
      </c>
      <c r="E11" s="11" t="s">
        <v>586</v>
      </c>
      <c r="F11" s="11" t="s">
        <v>10</v>
      </c>
    </row>
    <row r="12" customFormat="false" ht="41.25" hidden="false" customHeight="true" outlineLevel="0" collapsed="false">
      <c r="B12" s="9" t="s">
        <v>587</v>
      </c>
      <c r="C12" s="9" t="s">
        <v>588</v>
      </c>
      <c r="D12" s="9" t="s">
        <v>589</v>
      </c>
      <c r="E12" s="9" t="s">
        <v>590</v>
      </c>
      <c r="F12" s="9" t="s">
        <v>591</v>
      </c>
    </row>
    <row r="13" customFormat="false" ht="16.5" hidden="false" customHeight="true" outlineLevel="0" collapsed="false">
      <c r="B13" s="11" t="s">
        <v>592</v>
      </c>
      <c r="C13" s="11" t="s">
        <v>593</v>
      </c>
      <c r="D13" s="11" t="s">
        <v>594</v>
      </c>
      <c r="E13" s="11" t="s">
        <v>326</v>
      </c>
      <c r="F13" s="11" t="s">
        <v>141</v>
      </c>
    </row>
    <row r="14" customFormat="false" ht="41.25" hidden="false" customHeight="true" outlineLevel="0" collapsed="false">
      <c r="B14" s="9" t="s">
        <v>595</v>
      </c>
      <c r="C14" s="9" t="s">
        <v>596</v>
      </c>
      <c r="D14" s="17" t="s">
        <v>597</v>
      </c>
      <c r="E14" s="9" t="s">
        <v>598</v>
      </c>
      <c r="F14" s="9" t="s">
        <v>599</v>
      </c>
    </row>
  </sheetData>
  <autoFilter ref="B5:F14"/>
  <mergeCells count="3">
    <mergeCell ref="B1:F1"/>
    <mergeCell ref="B2:F2"/>
    <mergeCell ref="B3:F3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&amp;C&amp;"Arial,Regular"Heijmans Vastgoed | SWK vs. Woningborg | 5 Dekking-termijn-obligo&amp;R&amp;"Arial,Regular"Pagina &amp;P van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B900"/>
    <pageSetUpPr fitToPage="true"/>
  </sheetPr>
  <dimension ref="B1:I6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5" min="3" style="0" width="18"/>
    <col collapsed="false" customWidth="true" hidden="false" outlineLevel="0" max="6" min="6" style="0" width="4"/>
    <col collapsed="false" customWidth="true" hidden="false" outlineLevel="0" max="7" min="7" style="0" width="44"/>
    <col collapsed="false" customWidth="true" hidden="false" outlineLevel="0" max="9" min="8" style="0" width="18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B2" s="2" t="s">
        <v>600</v>
      </c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B3" s="3" t="s">
        <v>601</v>
      </c>
      <c r="C3" s="3"/>
      <c r="D3" s="3"/>
      <c r="E3" s="3"/>
      <c r="F3" s="3"/>
      <c r="G3" s="3"/>
      <c r="H3" s="3"/>
      <c r="I3" s="3"/>
    </row>
    <row r="5" customFormat="false" ht="19.5" hidden="false" customHeight="true" outlineLevel="0" collapsed="false">
      <c r="B5" s="4" t="s">
        <v>602</v>
      </c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B6" s="21" t="s">
        <v>506</v>
      </c>
      <c r="D6" s="22" t="n">
        <v>20</v>
      </c>
    </row>
    <row r="7" customFormat="false" ht="15" hidden="false" customHeight="false" outlineLevel="0" collapsed="false">
      <c r="B7" s="21" t="s">
        <v>603</v>
      </c>
      <c r="D7" s="23" t="n">
        <v>350000</v>
      </c>
    </row>
    <row r="8" customFormat="false" ht="15" hidden="false" customHeight="false" outlineLevel="0" collapsed="false">
      <c r="B8" s="21" t="s">
        <v>604</v>
      </c>
      <c r="D8" s="23" t="n">
        <v>75000</v>
      </c>
    </row>
    <row r="9" customFormat="false" ht="15" hidden="false" customHeight="false" outlineLevel="0" collapsed="false">
      <c r="B9" s="21" t="s">
        <v>605</v>
      </c>
      <c r="D9" s="24" t="n">
        <v>0.21</v>
      </c>
    </row>
    <row r="10" customFormat="false" ht="15" hidden="false" customHeight="false" outlineLevel="0" collapsed="false">
      <c r="B10" s="21" t="s">
        <v>606</v>
      </c>
      <c r="D10" s="24" t="n">
        <v>0.21</v>
      </c>
    </row>
    <row r="11" customFormat="false" ht="15" hidden="false" customHeight="false" outlineLevel="0" collapsed="false">
      <c r="B11" s="21" t="s">
        <v>607</v>
      </c>
      <c r="D11" s="24" t="n">
        <v>0.21</v>
      </c>
    </row>
    <row r="12" customFormat="false" ht="15" hidden="false" customHeight="false" outlineLevel="0" collapsed="false">
      <c r="B12" s="21" t="s">
        <v>608</v>
      </c>
      <c r="D12" s="24" t="n">
        <v>0.21</v>
      </c>
      <c r="F12" s="25" t="s">
        <v>609</v>
      </c>
    </row>
    <row r="13" customFormat="false" ht="15" hidden="false" customHeight="false" outlineLevel="0" collapsed="false">
      <c r="B13" s="26" t="s">
        <v>610</v>
      </c>
      <c r="D13" s="27" t="n">
        <f aca="false">D7*(1+D9)</f>
        <v>423500</v>
      </c>
    </row>
    <row r="14" customFormat="false" ht="15" hidden="false" customHeight="false" outlineLevel="0" collapsed="false">
      <c r="B14" s="26" t="s">
        <v>611</v>
      </c>
      <c r="D14" s="27" t="n">
        <f aca="false">D7*(1+D9)+D8*(1+D10)</f>
        <v>514250</v>
      </c>
    </row>
    <row r="17" customFormat="false" ht="19.5" hidden="false" customHeight="true" outlineLevel="0" collapsed="false">
      <c r="B17" s="4" t="s">
        <v>612</v>
      </c>
      <c r="C17" s="4"/>
      <c r="D17" s="4"/>
      <c r="E17" s="4"/>
      <c r="F17" s="4"/>
      <c r="G17" s="4"/>
      <c r="H17" s="4"/>
      <c r="I17" s="4"/>
    </row>
    <row r="18" customFormat="false" ht="27.75" hidden="false" customHeight="true" outlineLevel="0" collapsed="false">
      <c r="B18" s="0" t="s">
        <v>26</v>
      </c>
      <c r="C18" s="28" t="s">
        <v>31</v>
      </c>
      <c r="D18" s="29" t="s">
        <v>613</v>
      </c>
      <c r="E18" s="29"/>
      <c r="F18" s="29"/>
      <c r="G18" s="29"/>
      <c r="H18" s="29"/>
      <c r="I18" s="29"/>
    </row>
    <row r="19" customFormat="false" ht="15" hidden="false" customHeight="false" outlineLevel="0" collapsed="false">
      <c r="B19" s="30" t="s">
        <v>614</v>
      </c>
      <c r="C19" s="30" t="s">
        <v>24</v>
      </c>
      <c r="D19" s="30" t="s">
        <v>25</v>
      </c>
      <c r="E19" s="30" t="s">
        <v>615</v>
      </c>
      <c r="F19" s="30"/>
      <c r="G19" s="30" t="s">
        <v>616</v>
      </c>
    </row>
    <row r="20" customFormat="false" ht="15" hidden="false" customHeight="false" outlineLevel="0" collapsed="false">
      <c r="B20" s="21" t="s">
        <v>424</v>
      </c>
      <c r="C20" s="31" t="n">
        <f aca="false">$D$13</f>
        <v>423500</v>
      </c>
      <c r="D20" s="31" t="n">
        <f aca="false">$D$14</f>
        <v>514250</v>
      </c>
      <c r="E20" s="32" t="n">
        <f aca="false">D20-C20</f>
        <v>90750</v>
      </c>
      <c r="G20" s="33" t="s">
        <v>617</v>
      </c>
    </row>
    <row r="21" customFormat="false" ht="15" hidden="false" customHeight="false" outlineLevel="0" collapsed="false">
      <c r="B21" s="21" t="s">
        <v>618</v>
      </c>
      <c r="C21" s="31" t="n">
        <f aca="false">C20*0.2*0.005198</f>
        <v>440.2706</v>
      </c>
      <c r="D21" s="34"/>
      <c r="G21" s="33" t="s">
        <v>619</v>
      </c>
    </row>
    <row r="22" customFormat="false" ht="15" hidden="false" customHeight="false" outlineLevel="0" collapsed="false">
      <c r="B22" s="21" t="s">
        <v>620</v>
      </c>
      <c r="C22" s="31" t="n">
        <f aca="false">C20*0.00038</f>
        <v>160.93</v>
      </c>
      <c r="D22" s="34"/>
      <c r="G22" s="33" t="s">
        <v>621</v>
      </c>
    </row>
    <row r="23" customFormat="false" ht="15" hidden="false" customHeight="false" outlineLevel="0" collapsed="false">
      <c r="B23" s="21" t="s">
        <v>622</v>
      </c>
      <c r="C23" s="31" t="n">
        <f aca="false">0</f>
        <v>0</v>
      </c>
      <c r="D23" s="34"/>
      <c r="G23" s="33" t="s">
        <v>623</v>
      </c>
    </row>
    <row r="24" customFormat="false" ht="15" hidden="false" customHeight="false" outlineLevel="0" collapsed="false">
      <c r="B24" s="21" t="s">
        <v>624</v>
      </c>
      <c r="C24" s="34"/>
      <c r="D24" s="31" t="n">
        <f aca="false">D20*0.00227</f>
        <v>1167.3475</v>
      </c>
      <c r="G24" s="33" t="s">
        <v>625</v>
      </c>
    </row>
    <row r="25" customFormat="false" ht="15" hidden="false" customHeight="false" outlineLevel="0" collapsed="false">
      <c r="B25" s="21" t="s">
        <v>626</v>
      </c>
      <c r="C25" s="31" t="n">
        <f aca="false">750</f>
        <v>750</v>
      </c>
      <c r="D25" s="34"/>
      <c r="G25" s="33" t="s">
        <v>510</v>
      </c>
    </row>
    <row r="26" customFormat="false" ht="15" hidden="false" customHeight="false" outlineLevel="0" collapsed="false">
      <c r="B26" s="26" t="s">
        <v>627</v>
      </c>
      <c r="C26" s="35" t="n">
        <f aca="false">SUM(C21:C25)</f>
        <v>1351.2006</v>
      </c>
      <c r="D26" s="35" t="n">
        <f aca="false">SUM(D21:D25)</f>
        <v>1167.3475</v>
      </c>
      <c r="E26" s="32" t="n">
        <f aca="false">D26-C26</f>
        <v>-183.8531</v>
      </c>
      <c r="G26" s="33"/>
    </row>
    <row r="27" customFormat="false" ht="15" hidden="false" customHeight="false" outlineLevel="0" collapsed="false">
      <c r="B27" s="21" t="s">
        <v>209</v>
      </c>
      <c r="C27" s="31" t="str">
        <f aca="false">"onbekend"</f>
        <v>onbekend</v>
      </c>
      <c r="D27" s="31" t="n">
        <f aca="false">D26*$D$11</f>
        <v>245.142975</v>
      </c>
      <c r="G27" s="33" t="s">
        <v>628</v>
      </c>
    </row>
    <row r="28" customFormat="false" ht="15" hidden="false" customHeight="false" outlineLevel="0" collapsed="false">
      <c r="B28" s="26" t="s">
        <v>629</v>
      </c>
      <c r="C28" s="35" t="str">
        <f aca="false">"onbekend"</f>
        <v>onbekend</v>
      </c>
      <c r="D28" s="35" t="n">
        <f aca="false">D26+D27</f>
        <v>1412.490475</v>
      </c>
      <c r="G28" s="33"/>
    </row>
    <row r="29" customFormat="false" ht="15" hidden="false" customHeight="false" outlineLevel="0" collapsed="false">
      <c r="B29" s="21" t="s">
        <v>630</v>
      </c>
      <c r="C29" s="31" t="n">
        <f aca="false">C26*(1+$D$12)</f>
        <v>1634.952726</v>
      </c>
      <c r="D29" s="34"/>
      <c r="G29" s="33" t="s">
        <v>631</v>
      </c>
    </row>
    <row r="30" customFormat="false" ht="15" hidden="false" customHeight="false" outlineLevel="0" collapsed="false">
      <c r="B30" s="26" t="s">
        <v>632</v>
      </c>
      <c r="C30" s="31" t="n">
        <f aca="false">C26*$D$6</f>
        <v>27024.012</v>
      </c>
      <c r="D30" s="31" t="n">
        <f aca="false">D26*$D$6</f>
        <v>23346.95</v>
      </c>
      <c r="E30" s="32" t="n">
        <f aca="false">D30-C30</f>
        <v>-3677.06200000001</v>
      </c>
      <c r="G30" s="33" t="s">
        <v>633</v>
      </c>
    </row>
    <row r="33" customFormat="false" ht="19.5" hidden="false" customHeight="true" outlineLevel="0" collapsed="false">
      <c r="B33" s="4" t="s">
        <v>634</v>
      </c>
      <c r="C33" s="4"/>
      <c r="D33" s="4"/>
      <c r="E33" s="4"/>
      <c r="F33" s="4"/>
      <c r="G33" s="4"/>
      <c r="H33" s="4"/>
      <c r="I33" s="4"/>
    </row>
    <row r="34" customFormat="false" ht="27.75" hidden="false" customHeight="true" outlineLevel="0" collapsed="false">
      <c r="B34" s="0" t="s">
        <v>26</v>
      </c>
      <c r="C34" s="28" t="s">
        <v>31</v>
      </c>
      <c r="D34" s="29" t="s">
        <v>635</v>
      </c>
      <c r="E34" s="29"/>
      <c r="F34" s="29"/>
      <c r="G34" s="29"/>
      <c r="H34" s="29"/>
      <c r="I34" s="29"/>
    </row>
    <row r="35" customFormat="false" ht="15" hidden="false" customHeight="false" outlineLevel="0" collapsed="false">
      <c r="B35" s="30" t="s">
        <v>614</v>
      </c>
      <c r="C35" s="30" t="s">
        <v>24</v>
      </c>
      <c r="D35" s="30" t="s">
        <v>25</v>
      </c>
      <c r="E35" s="30" t="s">
        <v>615</v>
      </c>
      <c r="F35" s="30"/>
      <c r="G35" s="30" t="s">
        <v>616</v>
      </c>
    </row>
    <row r="36" customFormat="false" ht="15" hidden="false" customHeight="false" outlineLevel="0" collapsed="false">
      <c r="B36" s="21" t="s">
        <v>424</v>
      </c>
      <c r="C36" s="31" t="n">
        <f aca="false">$D$13</f>
        <v>423500</v>
      </c>
      <c r="D36" s="31" t="n">
        <f aca="false">$D$13</f>
        <v>423500</v>
      </c>
      <c r="E36" s="32" t="n">
        <f aca="false">D36-C36</f>
        <v>0</v>
      </c>
      <c r="G36" s="33" t="s">
        <v>636</v>
      </c>
    </row>
    <row r="37" customFormat="false" ht="15" hidden="false" customHeight="false" outlineLevel="0" collapsed="false">
      <c r="B37" s="21" t="s">
        <v>618</v>
      </c>
      <c r="C37" s="31" t="n">
        <f aca="false">C36*0.2*0.005198</f>
        <v>440.2706</v>
      </c>
      <c r="D37" s="34"/>
      <c r="G37" s="33" t="s">
        <v>619</v>
      </c>
    </row>
    <row r="38" customFormat="false" ht="15" hidden="false" customHeight="false" outlineLevel="0" collapsed="false">
      <c r="B38" s="21" t="s">
        <v>620</v>
      </c>
      <c r="C38" s="31" t="n">
        <f aca="false">C36*0.00038</f>
        <v>160.93</v>
      </c>
      <c r="D38" s="34"/>
      <c r="G38" s="33" t="s">
        <v>621</v>
      </c>
    </row>
    <row r="39" customFormat="false" ht="15" hidden="false" customHeight="false" outlineLevel="0" collapsed="false">
      <c r="B39" s="21" t="s">
        <v>622</v>
      </c>
      <c r="C39" s="31" t="n">
        <f aca="false">0</f>
        <v>0</v>
      </c>
      <c r="D39" s="34"/>
      <c r="G39" s="33" t="s">
        <v>623</v>
      </c>
    </row>
    <row r="40" customFormat="false" ht="15" hidden="false" customHeight="false" outlineLevel="0" collapsed="false">
      <c r="B40" s="21" t="s">
        <v>624</v>
      </c>
      <c r="C40" s="34"/>
      <c r="D40" s="31" t="n">
        <f aca="false">D36*0.00321</f>
        <v>1359.435</v>
      </c>
      <c r="G40" s="33" t="s">
        <v>637</v>
      </c>
    </row>
    <row r="41" customFormat="false" ht="15" hidden="false" customHeight="false" outlineLevel="0" collapsed="false">
      <c r="B41" s="21" t="s">
        <v>626</v>
      </c>
      <c r="C41" s="31" t="n">
        <f aca="false">750</f>
        <v>750</v>
      </c>
      <c r="D41" s="34"/>
      <c r="G41" s="33" t="s">
        <v>510</v>
      </c>
    </row>
    <row r="42" customFormat="false" ht="15" hidden="false" customHeight="false" outlineLevel="0" collapsed="false">
      <c r="B42" s="26" t="s">
        <v>627</v>
      </c>
      <c r="C42" s="35" t="n">
        <f aca="false">SUM(C37:C41)</f>
        <v>1351.2006</v>
      </c>
      <c r="D42" s="35" t="n">
        <f aca="false">SUM(D37:D41)</f>
        <v>1359.435</v>
      </c>
      <c r="E42" s="32" t="n">
        <f aca="false">D42-C42</f>
        <v>8.23440000000005</v>
      </c>
      <c r="G42" s="33"/>
    </row>
    <row r="43" customFormat="false" ht="15" hidden="false" customHeight="false" outlineLevel="0" collapsed="false">
      <c r="B43" s="21" t="s">
        <v>209</v>
      </c>
      <c r="C43" s="31" t="str">
        <f aca="false">"onbekend"</f>
        <v>onbekend</v>
      </c>
      <c r="D43" s="31" t="n">
        <f aca="false">D42*$D$11</f>
        <v>285.48135</v>
      </c>
      <c r="G43" s="33" t="s">
        <v>628</v>
      </c>
    </row>
    <row r="44" customFormat="false" ht="15" hidden="false" customHeight="false" outlineLevel="0" collapsed="false">
      <c r="B44" s="26" t="s">
        <v>629</v>
      </c>
      <c r="C44" s="35" t="str">
        <f aca="false">"onbekend"</f>
        <v>onbekend</v>
      </c>
      <c r="D44" s="35" t="n">
        <f aca="false">D42+D43</f>
        <v>1644.91635</v>
      </c>
      <c r="G44" s="33"/>
    </row>
    <row r="45" customFormat="false" ht="15" hidden="false" customHeight="false" outlineLevel="0" collapsed="false">
      <c r="B45" s="21" t="s">
        <v>630</v>
      </c>
      <c r="C45" s="31" t="n">
        <f aca="false">C42*(1+$D$12)</f>
        <v>1634.952726</v>
      </c>
      <c r="D45" s="34"/>
      <c r="G45" s="33" t="s">
        <v>631</v>
      </c>
    </row>
    <row r="46" customFormat="false" ht="15" hidden="false" customHeight="false" outlineLevel="0" collapsed="false">
      <c r="B46" s="26" t="s">
        <v>632</v>
      </c>
      <c r="C46" s="31" t="n">
        <f aca="false">C42*$D$6</f>
        <v>27024.012</v>
      </c>
      <c r="D46" s="31" t="n">
        <f aca="false">D42*$D$6</f>
        <v>27188.7</v>
      </c>
      <c r="E46" s="32" t="n">
        <f aca="false">D46-C46</f>
        <v>164.688000000002</v>
      </c>
      <c r="G46" s="33" t="s">
        <v>633</v>
      </c>
    </row>
    <row r="49" customFormat="false" ht="19.5" hidden="false" customHeight="true" outlineLevel="0" collapsed="false">
      <c r="B49" s="4" t="s">
        <v>638</v>
      </c>
      <c r="C49" s="4"/>
      <c r="D49" s="4"/>
      <c r="E49" s="4"/>
      <c r="F49" s="4"/>
      <c r="G49" s="4"/>
      <c r="H49" s="4"/>
      <c r="I49" s="4"/>
    </row>
    <row r="50" customFormat="false" ht="27.75" hidden="false" customHeight="true" outlineLevel="0" collapsed="false">
      <c r="B50" s="0" t="s">
        <v>26</v>
      </c>
      <c r="C50" s="28" t="s">
        <v>31</v>
      </c>
      <c r="D50" s="29" t="s">
        <v>639</v>
      </c>
      <c r="E50" s="29"/>
      <c r="F50" s="29"/>
      <c r="G50" s="29"/>
      <c r="H50" s="29"/>
      <c r="I50" s="29"/>
    </row>
    <row r="51" customFormat="false" ht="15" hidden="false" customHeight="false" outlineLevel="0" collapsed="false">
      <c r="B51" s="30" t="s">
        <v>614</v>
      </c>
      <c r="C51" s="30" t="s">
        <v>24</v>
      </c>
      <c r="D51" s="30" t="s">
        <v>25</v>
      </c>
      <c r="E51" s="30" t="s">
        <v>615</v>
      </c>
      <c r="F51" s="30"/>
      <c r="G51" s="30" t="s">
        <v>616</v>
      </c>
    </row>
    <row r="52" customFormat="false" ht="15" hidden="false" customHeight="false" outlineLevel="0" collapsed="false">
      <c r="B52" s="21" t="s">
        <v>424</v>
      </c>
      <c r="C52" s="31" t="n">
        <f aca="false">$D$13</f>
        <v>423500</v>
      </c>
      <c r="D52" s="31" t="n">
        <f aca="false">$D$14</f>
        <v>514250</v>
      </c>
      <c r="E52" s="32" t="n">
        <f aca="false">D52-C52</f>
        <v>90750</v>
      </c>
      <c r="G52" s="33" t="s">
        <v>617</v>
      </c>
    </row>
    <row r="53" customFormat="false" ht="15" hidden="false" customHeight="false" outlineLevel="0" collapsed="false">
      <c r="B53" s="21" t="s">
        <v>618</v>
      </c>
      <c r="C53" s="31" t="n">
        <f aca="false">C52*0.2*0.005198</f>
        <v>440.2706</v>
      </c>
      <c r="D53" s="34"/>
      <c r="G53" s="33" t="s">
        <v>619</v>
      </c>
    </row>
    <row r="54" customFormat="false" ht="15" hidden="false" customHeight="false" outlineLevel="0" collapsed="false">
      <c r="B54" s="21" t="s">
        <v>620</v>
      </c>
      <c r="C54" s="31" t="n">
        <f aca="false">C52*0.00038</f>
        <v>160.93</v>
      </c>
      <c r="D54" s="34"/>
      <c r="G54" s="33" t="s">
        <v>621</v>
      </c>
    </row>
    <row r="55" customFormat="false" ht="15" hidden="false" customHeight="false" outlineLevel="0" collapsed="false">
      <c r="B55" s="21" t="s">
        <v>622</v>
      </c>
      <c r="C55" s="31" t="n">
        <f aca="false">C54*0.303</f>
        <v>48.76179</v>
      </c>
      <c r="D55" s="34"/>
      <c r="G55" s="33" t="s">
        <v>640</v>
      </c>
    </row>
    <row r="56" customFormat="false" ht="15" hidden="false" customHeight="false" outlineLevel="0" collapsed="false">
      <c r="B56" s="21" t="s">
        <v>624</v>
      </c>
      <c r="C56" s="34"/>
      <c r="D56" s="31" t="n">
        <f aca="false">D52*0.0025</f>
        <v>1285.625</v>
      </c>
      <c r="G56" s="33" t="s">
        <v>641</v>
      </c>
    </row>
    <row r="57" customFormat="false" ht="15" hidden="false" customHeight="false" outlineLevel="0" collapsed="false">
      <c r="B57" s="21" t="s">
        <v>626</v>
      </c>
      <c r="C57" s="31" t="n">
        <f aca="false">750</f>
        <v>750</v>
      </c>
      <c r="D57" s="34"/>
      <c r="G57" s="33" t="s">
        <v>510</v>
      </c>
    </row>
    <row r="58" customFormat="false" ht="15" hidden="false" customHeight="false" outlineLevel="0" collapsed="false">
      <c r="B58" s="26" t="s">
        <v>627</v>
      </c>
      <c r="C58" s="35" t="n">
        <f aca="false">SUM(C53:C57)</f>
        <v>1399.96239</v>
      </c>
      <c r="D58" s="35" t="n">
        <f aca="false">SUM(D53:D57)</f>
        <v>1285.625</v>
      </c>
      <c r="E58" s="32" t="n">
        <f aca="false">D58-C58</f>
        <v>-114.33739</v>
      </c>
      <c r="G58" s="33"/>
    </row>
    <row r="59" customFormat="false" ht="15" hidden="false" customHeight="false" outlineLevel="0" collapsed="false">
      <c r="B59" s="21" t="s">
        <v>209</v>
      </c>
      <c r="C59" s="31" t="str">
        <f aca="false">"onbekend"</f>
        <v>onbekend</v>
      </c>
      <c r="D59" s="31" t="n">
        <f aca="false">D58*$D$11</f>
        <v>269.98125</v>
      </c>
      <c r="G59" s="33" t="s">
        <v>628</v>
      </c>
    </row>
    <row r="60" customFormat="false" ht="15" hidden="false" customHeight="false" outlineLevel="0" collapsed="false">
      <c r="B60" s="26" t="s">
        <v>629</v>
      </c>
      <c r="C60" s="35" t="str">
        <f aca="false">"onbekend"</f>
        <v>onbekend</v>
      </c>
      <c r="D60" s="35" t="n">
        <f aca="false">D58+D59</f>
        <v>1555.60625</v>
      </c>
      <c r="G60" s="33"/>
    </row>
    <row r="61" customFormat="false" ht="15" hidden="false" customHeight="false" outlineLevel="0" collapsed="false">
      <c r="B61" s="21" t="s">
        <v>630</v>
      </c>
      <c r="C61" s="31" t="n">
        <f aca="false">C58*(1+$D$12)</f>
        <v>1693.9544919</v>
      </c>
      <c r="D61" s="34"/>
      <c r="G61" s="33" t="s">
        <v>631</v>
      </c>
    </row>
    <row r="62" customFormat="false" ht="15" hidden="false" customHeight="false" outlineLevel="0" collapsed="false">
      <c r="B62" s="26" t="s">
        <v>632</v>
      </c>
      <c r="C62" s="31" t="n">
        <f aca="false">C58*$D$6</f>
        <v>27999.2478</v>
      </c>
      <c r="D62" s="31" t="n">
        <f aca="false">D58*$D$6</f>
        <v>25712.5</v>
      </c>
      <c r="E62" s="32" t="n">
        <f aca="false">D62-C62</f>
        <v>-2286.7478</v>
      </c>
      <c r="G62" s="33" t="s">
        <v>633</v>
      </c>
    </row>
    <row r="65" customFormat="false" ht="19.5" hidden="false" customHeight="true" outlineLevel="0" collapsed="false">
      <c r="B65" s="4" t="s">
        <v>642</v>
      </c>
      <c r="C65" s="4"/>
      <c r="D65" s="4"/>
      <c r="E65" s="4"/>
      <c r="F65" s="4"/>
      <c r="G65" s="4"/>
      <c r="H65" s="4"/>
      <c r="I65" s="4"/>
    </row>
    <row r="66" customFormat="false" ht="15.75" hidden="false" customHeight="true" outlineLevel="0" collapsed="false">
      <c r="B66" s="36" t="s">
        <v>643</v>
      </c>
      <c r="C66" s="36"/>
      <c r="D66" s="36"/>
      <c r="E66" s="36"/>
      <c r="F66" s="36"/>
      <c r="G66" s="36"/>
      <c r="H66" s="36"/>
      <c r="I66" s="36"/>
    </row>
    <row r="67" customFormat="false" ht="15.75" hidden="false" customHeight="true" outlineLevel="0" collapsed="false">
      <c r="B67" s="36" t="s">
        <v>644</v>
      </c>
      <c r="C67" s="36"/>
      <c r="D67" s="36"/>
      <c r="E67" s="36"/>
      <c r="F67" s="36"/>
      <c r="G67" s="36"/>
      <c r="H67" s="36"/>
      <c r="I67" s="36"/>
    </row>
    <row r="68" customFormat="false" ht="15.75" hidden="false" customHeight="true" outlineLevel="0" collapsed="false">
      <c r="B68" s="36" t="s">
        <v>645</v>
      </c>
      <c r="C68" s="36"/>
      <c r="D68" s="36"/>
      <c r="E68" s="36"/>
      <c r="F68" s="36"/>
      <c r="G68" s="36"/>
      <c r="H68" s="36"/>
      <c r="I68" s="36"/>
    </row>
  </sheetData>
  <mergeCells count="14">
    <mergeCell ref="B1:I1"/>
    <mergeCell ref="B2:I2"/>
    <mergeCell ref="B3:I3"/>
    <mergeCell ref="B5:I5"/>
    <mergeCell ref="B17:I17"/>
    <mergeCell ref="D18:I18"/>
    <mergeCell ref="B33:I33"/>
    <mergeCell ref="D34:I34"/>
    <mergeCell ref="B49:I49"/>
    <mergeCell ref="D50:I50"/>
    <mergeCell ref="B65:I65"/>
    <mergeCell ref="B66:I66"/>
    <mergeCell ref="B67:I67"/>
    <mergeCell ref="B68:I68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&amp;C&amp;"Arial,Regular"Heijmans Vastgoed | SWK vs. Woningborg | 6 Rekenvoorbeelden&amp;R&amp;"Arial,Regular"Pagina &amp;P van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2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10"/>
    <col collapsed="false" customWidth="true" hidden="false" outlineLevel="0" max="6" min="6" style="0" width="10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</row>
    <row r="2" customFormat="false" ht="31.5" hidden="false" customHeight="true" outlineLevel="0" collapsed="false">
      <c r="B2" s="2" t="s">
        <v>646</v>
      </c>
      <c r="C2" s="2"/>
      <c r="D2" s="2"/>
      <c r="E2" s="2"/>
      <c r="F2" s="2"/>
    </row>
    <row r="3" customFormat="false" ht="15" hidden="false" customHeight="false" outlineLevel="0" collapsed="false">
      <c r="B3" s="3" t="s">
        <v>647</v>
      </c>
      <c r="C3" s="3"/>
      <c r="D3" s="3"/>
      <c r="E3" s="3"/>
      <c r="F3" s="3"/>
    </row>
    <row r="5" customFormat="false" ht="30" hidden="false" customHeight="true" outlineLevel="0" collapsed="false">
      <c r="B5" s="7" t="s">
        <v>66</v>
      </c>
      <c r="C5" s="7" t="s">
        <v>648</v>
      </c>
      <c r="D5" s="7" t="s">
        <v>649</v>
      </c>
      <c r="E5" s="7" t="s">
        <v>650</v>
      </c>
      <c r="F5" s="7" t="s">
        <v>651</v>
      </c>
    </row>
    <row r="6" customFormat="false" ht="28.5" hidden="false" customHeight="true" outlineLevel="0" collapsed="false">
      <c r="B6" s="9" t="s">
        <v>652</v>
      </c>
      <c r="C6" s="9" t="s">
        <v>24</v>
      </c>
      <c r="D6" s="9" t="s">
        <v>653</v>
      </c>
      <c r="E6" s="9" t="s">
        <v>654</v>
      </c>
      <c r="F6" s="9" t="s">
        <v>655</v>
      </c>
    </row>
    <row r="7" customFormat="false" ht="28.5" hidden="false" customHeight="true" outlineLevel="0" collapsed="false">
      <c r="B7" s="11" t="s">
        <v>656</v>
      </c>
      <c r="C7" s="11" t="s">
        <v>24</v>
      </c>
      <c r="D7" s="11" t="s">
        <v>657</v>
      </c>
      <c r="E7" s="11" t="s">
        <v>658</v>
      </c>
      <c r="F7" s="11" t="s">
        <v>655</v>
      </c>
    </row>
    <row r="8" customFormat="false" ht="16.5" hidden="false" customHeight="true" outlineLevel="0" collapsed="false">
      <c r="B8" s="9" t="s">
        <v>659</v>
      </c>
      <c r="C8" s="9" t="s">
        <v>24</v>
      </c>
      <c r="D8" s="9" t="s">
        <v>14</v>
      </c>
      <c r="E8" s="9" t="s">
        <v>660</v>
      </c>
      <c r="F8" s="9" t="s">
        <v>655</v>
      </c>
    </row>
    <row r="9" customFormat="false" ht="28.5" hidden="false" customHeight="true" outlineLevel="0" collapsed="false">
      <c r="B9" s="11" t="s">
        <v>661</v>
      </c>
      <c r="C9" s="11" t="s">
        <v>24</v>
      </c>
      <c r="D9" s="11" t="s">
        <v>424</v>
      </c>
      <c r="E9" s="11" t="s">
        <v>662</v>
      </c>
      <c r="F9" s="11" t="s">
        <v>655</v>
      </c>
    </row>
    <row r="10" customFormat="false" ht="28.5" hidden="false" customHeight="true" outlineLevel="0" collapsed="false">
      <c r="B10" s="9" t="s">
        <v>663</v>
      </c>
      <c r="C10" s="9" t="s">
        <v>24</v>
      </c>
      <c r="D10" s="9" t="s">
        <v>197</v>
      </c>
      <c r="E10" s="9" t="s">
        <v>664</v>
      </c>
      <c r="F10" s="9" t="s">
        <v>655</v>
      </c>
    </row>
    <row r="11" customFormat="false" ht="16.5" hidden="false" customHeight="true" outlineLevel="0" collapsed="false">
      <c r="B11" s="11" t="s">
        <v>665</v>
      </c>
      <c r="C11" s="11" t="s">
        <v>24</v>
      </c>
      <c r="D11" s="11" t="s">
        <v>503</v>
      </c>
      <c r="E11" s="11" t="s">
        <v>666</v>
      </c>
      <c r="F11" s="11" t="s">
        <v>667</v>
      </c>
    </row>
    <row r="12" customFormat="false" ht="28.5" hidden="false" customHeight="true" outlineLevel="0" collapsed="false">
      <c r="B12" s="9" t="s">
        <v>668</v>
      </c>
      <c r="C12" s="9" t="s">
        <v>24</v>
      </c>
      <c r="D12" s="9" t="s">
        <v>669</v>
      </c>
      <c r="E12" s="9" t="s">
        <v>670</v>
      </c>
      <c r="F12" s="9" t="s">
        <v>655</v>
      </c>
    </row>
    <row r="13" customFormat="false" ht="28.5" hidden="false" customHeight="true" outlineLevel="0" collapsed="false">
      <c r="B13" s="11" t="s">
        <v>671</v>
      </c>
      <c r="C13" s="11" t="s">
        <v>24</v>
      </c>
      <c r="D13" s="11" t="s">
        <v>672</v>
      </c>
      <c r="E13" s="11" t="s">
        <v>673</v>
      </c>
      <c r="F13" s="11" t="s">
        <v>667</v>
      </c>
    </row>
    <row r="14" customFormat="false" ht="16.5" hidden="false" customHeight="true" outlineLevel="0" collapsed="false">
      <c r="B14" s="9" t="s">
        <v>674</v>
      </c>
      <c r="C14" s="9" t="s">
        <v>24</v>
      </c>
      <c r="D14" s="9" t="s">
        <v>675</v>
      </c>
      <c r="E14" s="9" t="s">
        <v>676</v>
      </c>
      <c r="F14" s="9" t="s">
        <v>667</v>
      </c>
    </row>
    <row r="15" customFormat="false" ht="16.5" hidden="false" customHeight="true" outlineLevel="0" collapsed="false">
      <c r="B15" s="11" t="s">
        <v>677</v>
      </c>
      <c r="C15" s="11" t="s">
        <v>24</v>
      </c>
      <c r="D15" s="11" t="s">
        <v>246</v>
      </c>
      <c r="E15" s="11" t="s">
        <v>678</v>
      </c>
      <c r="F15" s="11" t="s">
        <v>667</v>
      </c>
    </row>
    <row r="16" customFormat="false" ht="16.5" hidden="false" customHeight="true" outlineLevel="0" collapsed="false">
      <c r="B16" s="9" t="s">
        <v>679</v>
      </c>
      <c r="C16" s="9" t="s">
        <v>24</v>
      </c>
      <c r="D16" s="9" t="s">
        <v>176</v>
      </c>
      <c r="E16" s="9" t="s">
        <v>680</v>
      </c>
      <c r="F16" s="9" t="s">
        <v>667</v>
      </c>
    </row>
    <row r="17" customFormat="false" ht="28.5" hidden="false" customHeight="true" outlineLevel="0" collapsed="false">
      <c r="B17" s="11" t="s">
        <v>681</v>
      </c>
      <c r="C17" s="11" t="s">
        <v>25</v>
      </c>
      <c r="D17" s="11" t="s">
        <v>682</v>
      </c>
      <c r="E17" s="11" t="s">
        <v>683</v>
      </c>
      <c r="F17" s="11" t="s">
        <v>655</v>
      </c>
    </row>
    <row r="18" customFormat="false" ht="28.5" hidden="false" customHeight="true" outlineLevel="0" collapsed="false">
      <c r="B18" s="9" t="s">
        <v>684</v>
      </c>
      <c r="C18" s="9" t="s">
        <v>25</v>
      </c>
      <c r="D18" s="9" t="s">
        <v>685</v>
      </c>
      <c r="E18" s="9" t="s">
        <v>686</v>
      </c>
      <c r="F18" s="9" t="s">
        <v>655</v>
      </c>
    </row>
    <row r="19" customFormat="false" ht="16.5" hidden="false" customHeight="true" outlineLevel="0" collapsed="false">
      <c r="B19" s="11" t="s">
        <v>687</v>
      </c>
      <c r="C19" s="11" t="s">
        <v>25</v>
      </c>
      <c r="D19" s="11" t="s">
        <v>41</v>
      </c>
      <c r="E19" s="11" t="s">
        <v>688</v>
      </c>
      <c r="F19" s="11" t="s">
        <v>689</v>
      </c>
    </row>
    <row r="20" customFormat="false" ht="16.5" hidden="false" customHeight="true" outlineLevel="0" collapsed="false">
      <c r="B20" s="9" t="s">
        <v>690</v>
      </c>
      <c r="C20" s="9" t="s">
        <v>25</v>
      </c>
      <c r="D20" s="9" t="s">
        <v>691</v>
      </c>
      <c r="E20" s="9" t="s">
        <v>692</v>
      </c>
      <c r="F20" s="9" t="s">
        <v>667</v>
      </c>
    </row>
    <row r="21" customFormat="false" ht="16.5" hidden="false" customHeight="true" outlineLevel="0" collapsed="false">
      <c r="B21" s="11" t="s">
        <v>693</v>
      </c>
      <c r="C21" s="11" t="s">
        <v>25</v>
      </c>
      <c r="D21" s="11" t="s">
        <v>60</v>
      </c>
      <c r="E21" s="11" t="s">
        <v>694</v>
      </c>
      <c r="F21" s="11" t="s">
        <v>667</v>
      </c>
    </row>
    <row r="22" customFormat="false" ht="16.5" hidden="false" customHeight="true" outlineLevel="0" collapsed="false">
      <c r="B22" s="9" t="s">
        <v>695</v>
      </c>
      <c r="C22" s="9" t="s">
        <v>25</v>
      </c>
      <c r="D22" s="9" t="s">
        <v>176</v>
      </c>
      <c r="E22" s="9" t="s">
        <v>696</v>
      </c>
      <c r="F22" s="9" t="s">
        <v>667</v>
      </c>
    </row>
    <row r="23" customFormat="false" ht="16.5" hidden="false" customHeight="true" outlineLevel="0" collapsed="false">
      <c r="B23" s="11" t="s">
        <v>697</v>
      </c>
      <c r="C23" s="11" t="s">
        <v>25</v>
      </c>
      <c r="D23" s="11" t="s">
        <v>698</v>
      </c>
      <c r="E23" s="11" t="s">
        <v>699</v>
      </c>
      <c r="F23" s="11" t="s">
        <v>667</v>
      </c>
    </row>
    <row r="24" customFormat="false" ht="16.5" hidden="false" customHeight="true" outlineLevel="0" collapsed="false">
      <c r="B24" s="9" t="s">
        <v>700</v>
      </c>
      <c r="C24" s="9" t="s">
        <v>25</v>
      </c>
      <c r="D24" s="9" t="s">
        <v>701</v>
      </c>
      <c r="E24" s="9" t="s">
        <v>702</v>
      </c>
      <c r="F24" s="9" t="s">
        <v>667</v>
      </c>
    </row>
    <row r="25" customFormat="false" ht="28.5" hidden="false" customHeight="true" outlineLevel="0" collapsed="false">
      <c r="B25" s="11" t="s">
        <v>703</v>
      </c>
      <c r="C25" s="11" t="s">
        <v>704</v>
      </c>
      <c r="D25" s="11" t="s">
        <v>705</v>
      </c>
      <c r="E25" s="11" t="s">
        <v>706</v>
      </c>
      <c r="F25" s="11" t="s">
        <v>655</v>
      </c>
    </row>
  </sheetData>
  <autoFilter ref="B5:F25"/>
  <mergeCells count="3">
    <mergeCell ref="B1:F1"/>
    <mergeCell ref="B2:F2"/>
    <mergeCell ref="B3:F3"/>
  </mergeCell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&amp;C&amp;"Arial,Regular"Heijmans Vastgoed | SWK vs. Woningborg | 7 Ontbrekend en vragen&amp;R&amp;"Arial,Regular"Pagina &amp;P van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2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9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</row>
    <row r="2" customFormat="false" ht="31.5" hidden="false" customHeight="true" outlineLevel="0" collapsed="false">
      <c r="B2" s="2" t="s">
        <v>707</v>
      </c>
      <c r="C2" s="2"/>
      <c r="D2" s="2"/>
      <c r="E2" s="2"/>
      <c r="F2" s="2"/>
    </row>
    <row r="3" customFormat="false" ht="15" hidden="false" customHeight="false" outlineLevel="0" collapsed="false">
      <c r="B3" s="3" t="s">
        <v>708</v>
      </c>
      <c r="C3" s="3"/>
      <c r="D3" s="3"/>
      <c r="E3" s="3"/>
      <c r="F3" s="3"/>
    </row>
    <row r="5" customFormat="false" ht="15" hidden="false" customHeight="false" outlineLevel="0" collapsed="false">
      <c r="B5" s="37" t="s">
        <v>179</v>
      </c>
      <c r="C5" s="37" t="s">
        <v>709</v>
      </c>
      <c r="D5" s="37" t="s">
        <v>710</v>
      </c>
      <c r="E5" s="37" t="s">
        <v>711</v>
      </c>
    </row>
    <row r="6" customFormat="false" ht="19.5" hidden="false" customHeight="true" outlineLevel="0" collapsed="false">
      <c r="B6" s="38" t="n">
        <v>1</v>
      </c>
      <c r="C6" s="39" t="s">
        <v>712</v>
      </c>
      <c r="D6" s="40" t="s">
        <v>713</v>
      </c>
      <c r="E6" s="41"/>
    </row>
    <row r="7" customFormat="false" ht="19.5" hidden="false" customHeight="true" outlineLevel="0" collapsed="false">
      <c r="B7" s="38" t="n">
        <v>2</v>
      </c>
      <c r="C7" s="39" t="s">
        <v>714</v>
      </c>
      <c r="D7" s="40" t="s">
        <v>713</v>
      </c>
      <c r="E7" s="41"/>
    </row>
    <row r="8" customFormat="false" ht="19.5" hidden="false" customHeight="true" outlineLevel="0" collapsed="false">
      <c r="B8" s="38" t="n">
        <v>3</v>
      </c>
      <c r="C8" s="39" t="s">
        <v>715</v>
      </c>
      <c r="D8" s="40" t="s">
        <v>713</v>
      </c>
      <c r="E8" s="41"/>
    </row>
    <row r="9" customFormat="false" ht="19.5" hidden="false" customHeight="true" outlineLevel="0" collapsed="false">
      <c r="B9" s="38" t="n">
        <v>4</v>
      </c>
      <c r="C9" s="39" t="s">
        <v>716</v>
      </c>
      <c r="D9" s="40" t="s">
        <v>713</v>
      </c>
      <c r="E9" s="41"/>
    </row>
    <row r="10" customFormat="false" ht="19.5" hidden="false" customHeight="true" outlineLevel="0" collapsed="false">
      <c r="B10" s="38" t="n">
        <v>5</v>
      </c>
      <c r="C10" s="39" t="s">
        <v>717</v>
      </c>
      <c r="D10" s="40" t="s">
        <v>713</v>
      </c>
      <c r="E10" s="41"/>
    </row>
    <row r="11" customFormat="false" ht="19.5" hidden="false" customHeight="true" outlineLevel="0" collapsed="false">
      <c r="B11" s="38" t="n">
        <v>6</v>
      </c>
      <c r="C11" s="39" t="s">
        <v>718</v>
      </c>
      <c r="D11" s="40" t="s">
        <v>713</v>
      </c>
      <c r="E11" s="41"/>
    </row>
    <row r="12" customFormat="false" ht="19.5" hidden="false" customHeight="true" outlineLevel="0" collapsed="false">
      <c r="B12" s="38" t="n">
        <v>7</v>
      </c>
      <c r="C12" s="39" t="s">
        <v>719</v>
      </c>
      <c r="D12" s="40" t="s">
        <v>713</v>
      </c>
      <c r="E12" s="41"/>
    </row>
    <row r="13" customFormat="false" ht="19.5" hidden="false" customHeight="true" outlineLevel="0" collapsed="false">
      <c r="B13" s="38" t="n">
        <v>8</v>
      </c>
      <c r="C13" s="39" t="s">
        <v>720</v>
      </c>
      <c r="D13" s="40" t="s">
        <v>713</v>
      </c>
      <c r="E13" s="41"/>
    </row>
    <row r="14" customFormat="false" ht="19.5" hidden="false" customHeight="true" outlineLevel="0" collapsed="false">
      <c r="B14" s="38" t="n">
        <v>9</v>
      </c>
      <c r="C14" s="39" t="s">
        <v>721</v>
      </c>
      <c r="D14" s="42" t="s">
        <v>722</v>
      </c>
      <c r="E14" s="41"/>
    </row>
    <row r="15" customFormat="false" ht="19.5" hidden="false" customHeight="true" outlineLevel="0" collapsed="false">
      <c r="B15" s="38" t="n">
        <v>10</v>
      </c>
      <c r="C15" s="39" t="s">
        <v>723</v>
      </c>
      <c r="D15" s="42" t="s">
        <v>722</v>
      </c>
      <c r="E15" s="41"/>
    </row>
    <row r="16" customFormat="false" ht="19.5" hidden="false" customHeight="true" outlineLevel="0" collapsed="false">
      <c r="B16" s="38" t="n">
        <v>11</v>
      </c>
      <c r="C16" s="39" t="s">
        <v>724</v>
      </c>
      <c r="D16" s="42" t="s">
        <v>722</v>
      </c>
      <c r="E16" s="41"/>
    </row>
    <row r="17" customFormat="false" ht="19.5" hidden="false" customHeight="true" outlineLevel="0" collapsed="false">
      <c r="B17" s="38" t="n">
        <v>12</v>
      </c>
      <c r="C17" s="39" t="s">
        <v>725</v>
      </c>
      <c r="D17" s="42" t="s">
        <v>722</v>
      </c>
      <c r="E17" s="41"/>
    </row>
    <row r="18" customFormat="false" ht="19.5" hidden="false" customHeight="true" outlineLevel="0" collapsed="false">
      <c r="B18" s="38" t="n">
        <v>13</v>
      </c>
      <c r="C18" s="39" t="s">
        <v>726</v>
      </c>
      <c r="D18" s="42" t="s">
        <v>722</v>
      </c>
      <c r="E18" s="41"/>
    </row>
    <row r="19" customFormat="false" ht="19.5" hidden="false" customHeight="true" outlineLevel="0" collapsed="false">
      <c r="B19" s="38" t="n">
        <v>14</v>
      </c>
      <c r="C19" s="39" t="s">
        <v>727</v>
      </c>
      <c r="D19" s="42" t="s">
        <v>722</v>
      </c>
      <c r="E19" s="41"/>
    </row>
    <row r="20" customFormat="false" ht="19.5" hidden="false" customHeight="true" outlineLevel="0" collapsed="false">
      <c r="B20" s="38" t="n">
        <v>15</v>
      </c>
      <c r="C20" s="39" t="s">
        <v>728</v>
      </c>
      <c r="D20" s="40" t="s">
        <v>713</v>
      </c>
      <c r="E20" s="41"/>
    </row>
    <row r="21" customFormat="false" ht="19.5" hidden="false" customHeight="true" outlineLevel="0" collapsed="false">
      <c r="B21" s="38" t="n">
        <v>16</v>
      </c>
      <c r="C21" s="39" t="s">
        <v>729</v>
      </c>
      <c r="D21" s="42" t="s">
        <v>722</v>
      </c>
      <c r="E21" s="41"/>
    </row>
    <row r="23" customFormat="false" ht="15" hidden="false" customHeight="false" outlineLevel="0" collapsed="false">
      <c r="C23" s="43" t="s">
        <v>730</v>
      </c>
      <c r="D23" s="44" t="str">
        <f aca="false">IF(COUNTIF(E6:E21,"")&gt;0,"NOG INVULLEN",IF(COUNTIFS(D6:D21,"Blokkerend",E6:E21,"nee")&gt;0,"NIET VERGELIJKBAAR",IF(COUNTIF(E6:E21,"nee")&gt;0,"INDICATIEF","VERGELIJKBAAR")))</f>
        <v>NOG INVULLEN</v>
      </c>
      <c r="E23" s="44"/>
    </row>
  </sheetData>
  <mergeCells count="4">
    <mergeCell ref="B1:F1"/>
    <mergeCell ref="B2:F2"/>
    <mergeCell ref="B3:F3"/>
    <mergeCell ref="D23:E23"/>
  </mergeCells>
  <conditionalFormatting sqref="D23">
    <cfRule type="expression" priority="2" aboveAverage="0" equalAverage="0" bottom="0" percent="0" rank="0" text="" dxfId="11">
      <formula>D23="VERGELIJKBAAR"</formula>
    </cfRule>
    <cfRule type="expression" priority="3" aboveAverage="0" equalAverage="0" bottom="0" percent="0" rank="0" text="" dxfId="12">
      <formula>D23="INDICATIEF"</formula>
    </cfRule>
    <cfRule type="expression" priority="4" aboveAverage="0" equalAverage="0" bottom="0" percent="0" rank="0" text="" dxfId="13">
      <formula>D23="NIET VERGELIJKBAAR"</formula>
    </cfRule>
  </conditionalFormatting>
  <dataValidations count="1">
    <dataValidation allowBlank="true" errorStyle="stop" operator="between" showDropDown="false" showErrorMessage="false" showInputMessage="false" sqref="E6:E21" type="list">
      <formula1>"ja,nee"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&amp;C&amp;"Arial,Regular"Heijmans Vastgoed | SWK vs. Woningborg | 8 Checklist&amp;R&amp;"Arial,Regular"Pagina &amp;P van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2026-10-22T09:43:29Z</dcterms:created>
  <dc:creator>openpyxl</dc:creator>
  <dc:description/>
  <dc:language>en-US</dc:language>
  <cp:lastModifiedBy/>
  <dcterms:modified xsi:type="dcterms:W3CDTF">2026-10-22T09:43:29Z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