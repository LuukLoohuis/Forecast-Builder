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ew" sheetId="1" state="visible" r:id="rId3"/>
    <sheet name="Lijsten" sheetId="2" state="visible" r:id="rId4"/>
    <sheet name="Toelichting" sheetId="3" state="visible" r:id="rId5"/>
  </sheets>
  <definedNames>
    <definedName function="false" hidden="false" localSheetId="0" name="_xlnm.Print_Area" vbProcedure="false">Review!$A$1:$F$43</definedName>
    <definedName function="false" hidden="false" name="lst_Actie" vbProcedure="false">Lijsten!$F$2:$F$4</definedName>
    <definedName function="false" hidden="false" name="lst_Fase" vbProcedure="false">Lijsten!$B$2:$B$9</definedName>
    <definedName function="false" hidden="false" name="lst_Kwartaal" vbProcedure="false">Lijsten!$G$2:$G$33</definedName>
    <definedName function="false" hidden="false" name="lst_Personen" vbProcedure="false">Lijsten!$D$2:$D$6</definedName>
    <definedName function="false" hidden="false" name="lst_Soort" vbProcedure="false">Lijsten!$C$2:$C$5</definedName>
    <definedName function="false" hidden="false" name="lst_Status" vbProcedure="false">Lijsten!$A$2:$A$4</definedName>
    <definedName function="false" hidden="false" name="lst_Type" vbProcedure="false">Lijsten!$E$2:$E$5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<sst xmlns="http://schemas.openxmlformats.org/spreadsheetml/2006/main" count="123" uniqueCount="115">
  <si>
    <t xml:space="preserve">Projectnaam</t>
  </si>
  <si>
    <t xml:space="preserve">Status</t>
  </si>
  <si>
    <t xml:space="preserve">Reviewdatum</t>
  </si>
  <si>
    <t xml:space="preserve">SAP WBS</t>
  </si>
  <si>
    <t xml:space="preserve">Soort</t>
  </si>
  <si>
    <t xml:space="preserve">Projectfase</t>
  </si>
  <si>
    <t xml:space="preserve">Verantwoordelijke 1</t>
  </si>
  <si>
    <t xml:space="preserve">Verantwoordelijke 2</t>
  </si>
  <si>
    <t xml:space="preserve">1. KERNGEGEVENS</t>
  </si>
  <si>
    <t xml:space="preserve">Woningen</t>
  </si>
  <si>
    <t xml:space="preserve">Aantal</t>
  </si>
  <si>
    <t xml:space="preserve">Verkocht</t>
  </si>
  <si>
    <t xml:space="preserve">% verkocht</t>
  </si>
  <si>
    <t xml:space="preserve">Planning</t>
  </si>
  <si>
    <t xml:space="preserve">Kwartaal</t>
  </si>
  <si>
    <t xml:space="preserve">DAEB</t>
  </si>
  <si>
    <t xml:space="preserve">Verkoopstart</t>
  </si>
  <si>
    <t xml:space="preserve">Niet-DAEB</t>
  </si>
  <si>
    <t xml:space="preserve">Start bouw</t>
  </si>
  <si>
    <t xml:space="preserve">Totaal</t>
  </si>
  <si>
    <t xml:space="preserve">Oplevering</t>
  </si>
  <si>
    <t xml:space="preserve">Verkooptempo (p/mnd)</t>
  </si>
  <si>
    <t xml:space="preserve">Begin volgend jaar in verkoop</t>
  </si>
  <si>
    <t xml:space="preserve">Belangrijkste mijlpaal</t>
  </si>
  <si>
    <t xml:space="preserve">2. ACTUALITEITEN / REVIEW</t>
  </si>
  <si>
    <t xml:space="preserve">Type</t>
  </si>
  <si>
    <t xml:space="preserve">Onderwerp</t>
  </si>
  <si>
    <t xml:space="preserve">Stand van zaken</t>
  </si>
  <si>
    <t xml:space="preserve">Besluit / aandachtspunt</t>
  </si>
  <si>
    <t xml:space="preserve">3. ACTIELIJST</t>
  </si>
  <si>
    <t xml:space="preserve">Actie</t>
  </si>
  <si>
    <t xml:space="preserve">Eigenaar</t>
  </si>
  <si>
    <t xml:space="preserve">Deadline</t>
  </si>
  <si>
    <t xml:space="preserve">Signaal (automatisch)</t>
  </si>
  <si>
    <t xml:space="preserve">Samenvatting</t>
  </si>
  <si>
    <t xml:space="preserve">4. VRAGEN VOOR VOLGENDE REVIEW</t>
  </si>
  <si>
    <t xml:space="preserve">❓ Vraag 1</t>
  </si>
  <si>
    <t xml:space="preserve">❓ Vraag 2</t>
  </si>
  <si>
    <t xml:space="preserve">❓ Vraag 3</t>
  </si>
  <si>
    <t xml:space="preserve">❓ Vraag 4</t>
  </si>
  <si>
    <t xml:space="preserve">❓ Vraag 5</t>
  </si>
  <si>
    <t xml:space="preserve">Fase</t>
  </si>
  <si>
    <t xml:space="preserve">Personen</t>
  </si>
  <si>
    <t xml:space="preserve">Pas de gele cellen aan. Extra waarde nodig? Voeg een rij in midden in de lijst (rechtsklik &gt; Invoegen), dan groeit de dropdown mee.</t>
  </si>
  <si>
    <t xml:space="preserve">🟢 Op schema</t>
  </si>
  <si>
    <t xml:space="preserve">Initiatief</t>
  </si>
  <si>
    <t xml:space="preserve">Grondgebonden</t>
  </si>
  <si>
    <t xml:space="preserve">Ontwikkelaar 1</t>
  </si>
  <si>
    <t xml:space="preserve">Actualiteit</t>
  </si>
  <si>
    <t xml:space="preserve">⬜ Open</t>
  </si>
  <si>
    <t xml:space="preserve">Q1 2025</t>
  </si>
  <si>
    <t xml:space="preserve">🟠 Aandacht</t>
  </si>
  <si>
    <t xml:space="preserve">Haalbaarheid</t>
  </si>
  <si>
    <t xml:space="preserve">Appartementen</t>
  </si>
  <si>
    <t xml:space="preserve">Ontwikkelaar 2</t>
  </si>
  <si>
    <t xml:space="preserve">Kans</t>
  </si>
  <si>
    <t xml:space="preserve">🔄 Bezig</t>
  </si>
  <si>
    <t xml:space="preserve">Q2 2025</t>
  </si>
  <si>
    <t xml:space="preserve">🔴 Kritiek</t>
  </si>
  <si>
    <t xml:space="preserve">Ontwerp</t>
  </si>
  <si>
    <t xml:space="preserve">Gemengd</t>
  </si>
  <si>
    <t xml:space="preserve">Ontwikkelaar 3</t>
  </si>
  <si>
    <t xml:space="preserve">Risico</t>
  </si>
  <si>
    <t xml:space="preserve">✅ Gereed</t>
  </si>
  <si>
    <t xml:space="preserve">Q3 2025</t>
  </si>
  <si>
    <t xml:space="preserve">Voorbereiding</t>
  </si>
  <si>
    <t xml:space="preserve">Transformatie</t>
  </si>
  <si>
    <t xml:space="preserve">Projectleider</t>
  </si>
  <si>
    <t xml:space="preserve">Besluit</t>
  </si>
  <si>
    <t xml:space="preserve">Q4 2025</t>
  </si>
  <si>
    <t xml:space="preserve">Verkoop</t>
  </si>
  <si>
    <t xml:space="preserve">Verkoopmanager</t>
  </si>
  <si>
    <t xml:space="preserve">Q1 2026</t>
  </si>
  <si>
    <t xml:space="preserve">Realisatie</t>
  </si>
  <si>
    <t xml:space="preserve">Q2 2026</t>
  </si>
  <si>
    <t xml:space="preserve">Q3 2026</t>
  </si>
  <si>
    <t xml:space="preserve">Nazorg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</si>
  <si>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</si>
  <si>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</si>
  <si>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</si>
  <si>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</si>
  <si>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</si>
  <si>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</si>
  <si>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</si>
  <si>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</si>
  <si>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</si>
  <si>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</si>
  <si>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</si>
  <si>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</si>
  <si>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</si>
  <si>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</si>
  <si>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</si>
  <si>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</si>
  <si>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</si>
  <si>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</si>
  <si>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</si>
  <si>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</si>
  <si>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</si>
  <si>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</si>
  <si>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</si>
  <si>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</si>
  <si>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</si>
  <si>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Projectreview – toelichting</t>
  </si>
  <si>
    <t xml:space="preserve">Lichtgele cellen zijn invulvelden. Witte cellen met vette tekst rekenen automatisch.</t>
  </si>
  <si>
    <t xml:space="preserve">Klik op een geel veld met een pijltje voor een dropdown (status, fase, type, eigenaar, kwartaal).</t>
  </si>
  <si>
    <t xml:space="preserve">Dropdownwaarden (o.a. namen van ontwikkelaars) beheer je op het tabblad 'Lijsten'.</t>
  </si>
  <si>
    <t xml:space="preserve">Automatisch:</t>
  </si>
  <si>
    <t xml:space="preserve">• Titel = projectnaam; totaal woningen, totaal verkocht en % verkocht.</t>
  </si>
  <si>
    <t xml:space="preserve">• Statuskleuren groen/oranje/rood bij de projectstatus en bij actualiteiten.</t>
  </si>
  <si>
    <t xml:space="preserve">• Actielijst: signaal 'Verlopen' / 'Binnen 2 weken' t.o.v. de reviewdatum (of vandaag als die leeg is).</t>
  </si>
  <si>
    <t xml:space="preserve">• Acties op 'Gereed' worden grijs doorgehaald; samenvatting telt open en verlopen acties.</t>
  </si>
  <si>
    <t xml:space="preserve">• Waarschuwing (rood) als verkocht &gt; aantal; oranje als planning in onlogische volgorde staat.</t>
  </si>
  <si>
    <t xml:space="preserve">Voorbeeld van een ingevulde actie:</t>
  </si>
  <si>
    <t xml:space="preserve">Status: ⬜ Open | Actie: Offerte installateur opvragen | Eigenaar: Ontwikkelaar 1 | Deadline: 1-10-2026</t>
  </si>
  <si>
    <t xml:space="preserve">Tip: in OneNote via Invoegen &gt; Spreadsheet &gt; Bestaande Excel-spreadsheet dit bestand insluiten.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</si>
</sst>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\-m\-yyyy"/>
    <numFmt numFmtId="166" formatCode="0"/>
    <numFmt numFmtId="167" formatCode="0%"/>
    <numFmt numFmtId="168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5FA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75E"/>
        <bgColor rgb="FF333333"/>
      </patternFill>
    </fill>
    <fill>
      <patternFill patternType="solid">
        <fgColor rgb="FFDCE6F1"/>
        <bgColor rgb="FFE7E6E6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C6EFCE"/>
        </patternFill>
      </fill>
    </dxf>
    <dxf>
      <fill>
        <patternFill>
          <bgColor rgb="FFFFE0B2"/>
        </patternFill>
      </fill>
    </dxf>
    <dxf>
      <fill>
        <patternFill>
          <bgColor rgb="FFFFC7CE"/>
        </patternFill>
      </fill>
    </dxf>
    <dxf>
      <fill>
        <patternFill>
          <bgColor rgb="FFE7E6E6"/>
        </patternFill>
      </fill>
    </dxf>
    <dxf>
      <font>
        <strike val="1"/>
        <color rgb="FF7F7F7F"/>
      </font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DE7"/>
      <rgbColor rgb="FFDCE6F1"/>
      <rgbColor rgb="FF660066"/>
      <rgbColor rgb="FFFF8080"/>
      <rgbColor rgb="FF1F5FA8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737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17"/>
    <col collapsed="false" customWidth="true" hidden="false" outlineLevel="0" max="5" min="5" style="0" width="20"/>
    <col collapsed="false" customWidth="true" hidden="false" outlineLevel="0" max="6" min="6" style="0" width="24"/>
  </cols>
  <sheetData>
    <row r="1" customFormat="false" ht="30" hidden="false" customHeight="true" outlineLevel="0" collapsed="false">
      <c r="A1" s="1" t="str">
        <f aca="false">IF(B2="","[Leeg]",B2)</f>
        <v>[Leeg]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0</v>
      </c>
      <c r="B2" s="3"/>
      <c r="C2" s="3"/>
      <c r="D2" s="3"/>
      <c r="E2" s="2" t="s">
        <v>1</v>
      </c>
      <c r="F2" s="3"/>
    </row>
    <row r="3" customFormat="false" ht="18" hidden="false" customHeight="true" outlineLevel="0" collapsed="false">
      <c r="A3" s="2" t="s">
        <v>2</v>
      </c>
      <c r="B3" s="4"/>
      <c r="C3" s="2" t="s">
        <v>3</v>
      </c>
      <c r="D3" s="3"/>
      <c r="E3" s="2" t="s">
        <v>4</v>
      </c>
      <c r="F3" s="3"/>
    </row>
    <row r="4" customFormat="false" ht="18" hidden="false" customHeight="true" outlineLevel="0" collapsed="false">
      <c r="A4" s="2" t="s">
        <v>5</v>
      </c>
      <c r="B4" s="3"/>
      <c r="C4" s="2" t="s">
        <v>6</v>
      </c>
      <c r="D4" s="3"/>
      <c r="E4" s="2" t="s">
        <v>7</v>
      </c>
      <c r="F4" s="3"/>
    </row>
    <row r="5" customFormat="false" ht="18" hidden="false" customHeight="true" outlineLevel="0" collapsed="false"/>
    <row r="6" customFormat="false" ht="19.5" hidden="false" customHeight="true" outlineLevel="0" collapsed="false">
      <c r="A6" s="5" t="s">
        <v>8</v>
      </c>
      <c r="B6" s="5"/>
      <c r="C6" s="5"/>
      <c r="D6" s="5"/>
      <c r="E6" s="5"/>
      <c r="F6" s="5"/>
    </row>
    <row r="7" customFormat="false" ht="18" hidden="false" customHeight="true" outlineLevel="0" collapsed="false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</row>
    <row r="8" customFormat="false" ht="18" hidden="false" customHeight="true" outlineLevel="0" collapsed="false">
      <c r="A8" s="2" t="s">
        <v>15</v>
      </c>
      <c r="B8" s="6"/>
      <c r="C8" s="6"/>
      <c r="D8" s="7" t="str">
        <f aca="false">IF(N(B8)=0,"",C8/B8)</f>
        <v/>
      </c>
      <c r="E8" s="2" t="s">
        <v>16</v>
      </c>
      <c r="F8" s="3"/>
    </row>
    <row r="9" customFormat="false" ht="18" hidden="false" customHeight="true" outlineLevel="0" collapsed="false">
      <c r="A9" s="2" t="s">
        <v>17</v>
      </c>
      <c r="B9" s="6"/>
      <c r="C9" s="6"/>
      <c r="D9" s="7" t="str">
        <f aca="false">IF(N(B9)=0,"",C9/B9)</f>
        <v/>
      </c>
      <c r="E9" s="2" t="s">
        <v>18</v>
      </c>
      <c r="F9" s="3"/>
    </row>
    <row r="10" customFormat="false" ht="18" hidden="false" customHeight="true" outlineLevel="0" collapsed="false">
      <c r="A10" s="2" t="s">
        <v>19</v>
      </c>
      <c r="B10" s="8" t="n">
        <f aca="false">SUM(B8:B9)</f>
        <v>0</v>
      </c>
      <c r="C10" s="8" t="n">
        <f aca="false">SUM(C8:C9)</f>
        <v>0</v>
      </c>
      <c r="D10" s="7" t="str">
        <f aca="false">IF(N(B10)=0,"",C10/B10)</f>
        <v/>
      </c>
      <c r="E10" s="2" t="s">
        <v>20</v>
      </c>
      <c r="F10" s="3"/>
    </row>
    <row r="11" customFormat="false" ht="18" hidden="false" customHeight="true" outlineLevel="0" collapsed="false">
      <c r="A11" s="2" t="s">
        <v>21</v>
      </c>
      <c r="B11" s="9"/>
      <c r="C11" s="2" t="s">
        <v>22</v>
      </c>
      <c r="D11" s="6"/>
      <c r="E11" s="2" t="s">
        <v>23</v>
      </c>
      <c r="F11" s="3"/>
    </row>
    <row r="12" customFormat="false" ht="18" hidden="false" customHeight="true" outlineLevel="0" collapsed="false"/>
    <row r="13" customFormat="false" ht="19.5" hidden="false" customHeight="true" outlineLevel="0" collapsed="false">
      <c r="A13" s="5" t="s">
        <v>24</v>
      </c>
      <c r="B13" s="5"/>
      <c r="C13" s="5"/>
      <c r="D13" s="5"/>
      <c r="E13" s="5"/>
      <c r="F13" s="5"/>
    </row>
    <row r="14" customFormat="false" ht="18" hidden="false" customHeight="true" outlineLevel="0" collapsed="false">
      <c r="A14" s="2" t="s">
        <v>25</v>
      </c>
      <c r="B14" s="2" t="s">
        <v>26</v>
      </c>
      <c r="C14" s="2" t="s">
        <v>27</v>
      </c>
      <c r="D14" s="2"/>
      <c r="E14" s="2" t="s">
        <v>1</v>
      </c>
      <c r="F14" s="2" t="s">
        <v>28</v>
      </c>
    </row>
    <row r="15" customFormat="false" ht="18" hidden="false" customHeight="true" outlineLevel="0" collapsed="false">
      <c r="A15" s="3"/>
      <c r="B15" s="3"/>
      <c r="C15" s="3"/>
      <c r="D15" s="3"/>
      <c r="E15" s="3"/>
      <c r="F15" s="3"/>
    </row>
    <row r="16" customFormat="false" ht="18" hidden="false" customHeight="true" outlineLevel="0" collapsed="false">
      <c r="A16" s="3"/>
      <c r="B16" s="3"/>
      <c r="C16" s="3"/>
      <c r="D16" s="3"/>
      <c r="E16" s="3"/>
      <c r="F16" s="3"/>
    </row>
    <row r="17" customFormat="false" ht="18" hidden="false" customHeight="true" outlineLevel="0" collapsed="false">
      <c r="A17" s="3"/>
      <c r="B17" s="3"/>
      <c r="C17" s="3"/>
      <c r="D17" s="3"/>
      <c r="E17" s="3"/>
      <c r="F17" s="3"/>
    </row>
    <row r="18" customFormat="false" ht="18" hidden="false" customHeight="true" outlineLevel="0" collapsed="false">
      <c r="A18" s="3"/>
      <c r="B18" s="3"/>
      <c r="C18" s="3"/>
      <c r="D18" s="3"/>
      <c r="E18" s="3"/>
      <c r="F18" s="3"/>
    </row>
    <row r="19" customFormat="false" ht="18" hidden="false" customHeight="true" outlineLevel="0" collapsed="false">
      <c r="A19" s="3"/>
      <c r="B19" s="3"/>
      <c r="C19" s="3"/>
      <c r="D19" s="3"/>
      <c r="E19" s="3"/>
      <c r="F19" s="3"/>
    </row>
    <row r="20" customFormat="false" ht="18" hidden="false" customHeight="true" outlineLevel="0" collapsed="false">
      <c r="A20" s="3"/>
      <c r="B20" s="3"/>
      <c r="C20" s="3"/>
      <c r="D20" s="3"/>
      <c r="E20" s="3"/>
      <c r="F20" s="3"/>
    </row>
    <row r="21" customFormat="false" ht="18" hidden="false" customHeight="true" outlineLevel="0" collapsed="false">
      <c r="A21" s="3"/>
      <c r="B21" s="3"/>
      <c r="C21" s="3"/>
      <c r="D21" s="3"/>
      <c r="E21" s="3"/>
      <c r="F21" s="3"/>
    </row>
    <row r="22" customFormat="false" ht="18" hidden="false" customHeight="true" outlineLevel="0" collapsed="false">
      <c r="A22" s="3"/>
      <c r="B22" s="3"/>
      <c r="C22" s="3"/>
      <c r="D22" s="3"/>
      <c r="E22" s="3"/>
      <c r="F22" s="3"/>
    </row>
    <row r="23" customFormat="false" ht="18" hidden="false" customHeight="true" outlineLevel="0" collapsed="false"/>
    <row r="24" customFormat="false" ht="19.5" hidden="false" customHeight="true" outlineLevel="0" collapsed="false">
      <c r="A24" s="5" t="s">
        <v>29</v>
      </c>
      <c r="B24" s="5"/>
      <c r="C24" s="5"/>
      <c r="D24" s="5"/>
      <c r="E24" s="5"/>
      <c r="F24" s="5"/>
    </row>
    <row r="25" customFormat="false" ht="18" hidden="false" customHeight="true" outlineLevel="0" collapsed="false">
      <c r="A25" s="2" t="s">
        <v>1</v>
      </c>
      <c r="B25" s="2" t="s">
        <v>30</v>
      </c>
      <c r="C25" s="2"/>
      <c r="D25" s="2" t="s">
        <v>31</v>
      </c>
      <c r="E25" s="2" t="s">
        <v>32</v>
      </c>
      <c r="F25" s="2" t="s">
        <v>33</v>
      </c>
    </row>
    <row r="26" customFormat="false" ht="18" hidden="false" customHeight="true" outlineLevel="0" collapsed="false">
      <c r="A26" s="3"/>
      <c r="B26" s="3"/>
      <c r="C26" s="3"/>
      <c r="D26" s="3"/>
      <c r="E26" s="4"/>
      <c r="F26" s="10" t="str">
        <f aca="true">IF(B26="","",IF(ISNUMBER(SEARCH("Gereed",A26)),"✅ Afgerond",IF(E26="","⚪ Geen deadline",IF(E26&lt;IF($B$3="",TODAY(),$B$3),"🔴 Verlopen",IF(E26-IF($B$3="",TODAY(),$B$3)&lt;=14,"🟠 Binnen 2 weken","🟢 Op schema")))))</f>
        <v/>
      </c>
    </row>
    <row r="27" customFormat="false" ht="18" hidden="false" customHeight="true" outlineLevel="0" collapsed="false">
      <c r="A27" s="3"/>
      <c r="B27" s="3"/>
      <c r="C27" s="3"/>
      <c r="D27" s="3"/>
      <c r="E27" s="4"/>
      <c r="F27" s="10" t="str">
        <f aca="true">IF(B27="","",IF(ISNUMBER(SEARCH("Gereed",A27)),"✅ Afgerond",IF(E27="","⚪ Geen deadline",IF(E27&lt;IF($B$3="",TODAY(),$B$3),"🔴 Verlopen",IF(E27-IF($B$3="",TODAY(),$B$3)&lt;=14,"🟠 Binnen 2 weken","🟢 Op schema")))))</f>
        <v/>
      </c>
    </row>
    <row r="28" customFormat="false" ht="18" hidden="false" customHeight="true" outlineLevel="0" collapsed="false">
      <c r="A28" s="3"/>
      <c r="B28" s="3"/>
      <c r="C28" s="3"/>
      <c r="D28" s="3"/>
      <c r="E28" s="4"/>
      <c r="F28" s="10" t="str">
        <f aca="true">IF(B28="","",IF(ISNUMBER(SEARCH("Gereed",A28)),"✅ Afgerond",IF(E28="","⚪ Geen deadline",IF(E28&lt;IF($B$3="",TODAY(),$B$3),"🔴 Verlopen",IF(E28-IF($B$3="",TODAY(),$B$3)&lt;=14,"🟠 Binnen 2 weken","🟢 Op schema")))))</f>
        <v/>
      </c>
    </row>
    <row r="29" customFormat="false" ht="18" hidden="false" customHeight="true" outlineLevel="0" collapsed="false">
      <c r="A29" s="3"/>
      <c r="B29" s="3"/>
      <c r="C29" s="3"/>
      <c r="D29" s="3"/>
      <c r="E29" s="4"/>
      <c r="F29" s="10" t="str">
        <f aca="true">IF(B29="","",IF(ISNUMBER(SEARCH("Gereed",A29)),"✅ Afgerond",IF(E29="","⚪ Geen deadline",IF(E29&lt;IF($B$3="",TODAY(),$B$3),"🔴 Verlopen",IF(E29-IF($B$3="",TODAY(),$B$3)&lt;=14,"🟠 Binnen 2 weken","🟢 Op schema")))))</f>
        <v/>
      </c>
    </row>
    <row r="30" customFormat="false" ht="18" hidden="false" customHeight="true" outlineLevel="0" collapsed="false">
      <c r="A30" s="3"/>
      <c r="B30" s="3"/>
      <c r="C30" s="3"/>
      <c r="D30" s="3"/>
      <c r="E30" s="4"/>
      <c r="F30" s="10" t="str">
        <f aca="true">IF(B30="","",IF(ISNUMBER(SEARCH("Gereed",A30)),"✅ Afgerond",IF(E30="","⚪ Geen deadline",IF(E30&lt;IF($B$3="",TODAY(),$B$3),"🔴 Verlopen",IF(E30-IF($B$3="",TODAY(),$B$3)&lt;=14,"🟠 Binnen 2 weken","🟢 Op schema")))))</f>
        <v/>
      </c>
    </row>
    <row r="31" customFormat="false" ht="18" hidden="false" customHeight="true" outlineLevel="0" collapsed="false">
      <c r="A31" s="3"/>
      <c r="B31" s="3"/>
      <c r="C31" s="3"/>
      <c r="D31" s="3"/>
      <c r="E31" s="4"/>
      <c r="F31" s="10" t="str">
        <f aca="true">IF(B31="","",IF(ISNUMBER(SEARCH("Gereed",A31)),"✅ Afgerond",IF(E31="","⚪ Geen deadline",IF(E31&lt;IF($B$3="",TODAY(),$B$3),"🔴 Verlopen",IF(E31-IF($B$3="",TODAY(),$B$3)&lt;=14,"🟠 Binnen 2 weken","🟢 Op schema")))))</f>
        <v/>
      </c>
    </row>
    <row r="32" customFormat="false" ht="18" hidden="false" customHeight="true" outlineLevel="0" collapsed="false">
      <c r="A32" s="3"/>
      <c r="B32" s="3"/>
      <c r="C32" s="3"/>
      <c r="D32" s="3"/>
      <c r="E32" s="4"/>
      <c r="F32" s="10" t="str">
        <f aca="true">IF(B32="","",IF(ISNUMBER(SEARCH("Gereed",A32)),"✅ Afgerond",IF(E32="","⚪ Geen deadline",IF(E32&lt;IF($B$3="",TODAY(),$B$3),"🔴 Verlopen",IF(E32-IF($B$3="",TODAY(),$B$3)&lt;=14,"🟠 Binnen 2 weken","🟢 Op schema")))))</f>
        <v/>
      </c>
    </row>
    <row r="33" customFormat="false" ht="18" hidden="false" customHeight="true" outlineLevel="0" collapsed="false">
      <c r="A33" s="3"/>
      <c r="B33" s="3"/>
      <c r="C33" s="3"/>
      <c r="D33" s="3"/>
      <c r="E33" s="4"/>
      <c r="F33" s="10" t="str">
        <f aca="true">IF(B33="","",IF(ISNUMBER(SEARCH("Gereed",A33)),"✅ Afgerond",IF(E33="","⚪ Geen deadline",IF(E33&lt;IF($B$3="",TODAY(),$B$3),"🔴 Verlopen",IF(E33-IF($B$3="",TODAY(),$B$3)&lt;=14,"🟠 Binnen 2 weken","🟢 Op schema")))))</f>
        <v/>
      </c>
    </row>
    <row r="34" customFormat="false" ht="18" hidden="false" customHeight="true" outlineLevel="0" collapsed="false">
      <c r="A34" s="3"/>
      <c r="B34" s="3"/>
      <c r="C34" s="3"/>
      <c r="D34" s="3"/>
      <c r="E34" s="4"/>
      <c r="F34" s="10" t="str">
        <f aca="true">IF(B34="","",IF(ISNUMBER(SEARCH("Gereed",A34)),"✅ Afgerond",IF(E34="","⚪ Geen deadline",IF(E34&lt;IF($B$3="",TODAY(),$B$3),"🔴 Verlopen",IF(E34-IF($B$3="",TODAY(),$B$3)&lt;=14,"🟠 Binnen 2 weken","🟢 Op schema")))))</f>
        <v/>
      </c>
    </row>
    <row r="35" customFormat="false" ht="18" hidden="false" customHeight="true" outlineLevel="0" collapsed="false">
      <c r="A35" s="3"/>
      <c r="B35" s="3"/>
      <c r="C35" s="3"/>
      <c r="D35" s="3"/>
      <c r="E35" s="4"/>
      <c r="F35" s="10" t="str">
        <f aca="true">IF(B35="","",IF(ISNUMBER(SEARCH("Gereed",A35)),"✅ Afgerond",IF(E35="","⚪ Geen deadline",IF(E35&lt;IF($B$3="",TODAY(),$B$3),"🔴 Verlopen",IF(E35-IF($B$3="",TODAY(),$B$3)&lt;=14,"🟠 Binnen 2 weken","🟢 Op schema")))))</f>
        <v/>
      </c>
    </row>
    <row r="36" customFormat="false" ht="18" hidden="false" customHeight="true" outlineLevel="0" collapsed="false">
      <c r="A36" s="2" t="s">
        <v>34</v>
      </c>
      <c r="B36" s="2"/>
      <c r="C36" s="11" t="str">
        <f aca="false">COUNTIFS(B26:B35,"&lt;&gt;",A26:A35,"&lt;&gt;*Gereed*")&amp;" open actie(s)"</f>
        <v>0 open actie(s)</v>
      </c>
      <c r="D36" s="11"/>
      <c r="E36" s="11" t="str">
        <f aca="false">COUNTIF(F26:F35,"*Verlopen*")&amp;" verlopen"</f>
        <v>0 verlopen</v>
      </c>
      <c r="F36" s="11"/>
    </row>
    <row r="37" customFormat="false" ht="18" hidden="false" customHeight="true" outlineLevel="0" collapsed="false"/>
    <row r="38" customFormat="false" ht="19.5" hidden="false" customHeight="true" outlineLevel="0" collapsed="false">
      <c r="A38" s="5" t="s">
        <v>35</v>
      </c>
      <c r="B38" s="5"/>
      <c r="C38" s="5"/>
      <c r="D38" s="5"/>
      <c r="E38" s="5"/>
      <c r="F38" s="5"/>
    </row>
    <row r="39" customFormat="false" ht="18" hidden="false" customHeight="true" outlineLevel="0" collapsed="false">
      <c r="A39" s="2" t="s">
        <v>36</v>
      </c>
      <c r="B39" s="3"/>
      <c r="C39" s="3"/>
      <c r="D39" s="3"/>
      <c r="E39" s="3"/>
      <c r="F39" s="3"/>
    </row>
    <row r="40" customFormat="false" ht="18" hidden="false" customHeight="true" outlineLevel="0" collapsed="false">
      <c r="A40" s="2" t="s">
        <v>37</v>
      </c>
      <c r="B40" s="3"/>
      <c r="C40" s="3"/>
      <c r="D40" s="3"/>
      <c r="E40" s="3"/>
      <c r="F40" s="3"/>
    </row>
    <row r="41" customFormat="false" ht="18" hidden="false" customHeight="true" outlineLevel="0" collapsed="false">
      <c r="A41" s="2" t="s">
        <v>38</v>
      </c>
      <c r="B41" s="3"/>
      <c r="C41" s="3"/>
      <c r="D41" s="3"/>
      <c r="E41" s="3"/>
      <c r="F41" s="3"/>
    </row>
    <row r="42" customFormat="false" ht="18" hidden="false" customHeight="true" outlineLevel="0" collapsed="false">
      <c r="A42" s="2" t="s">
        <v>39</v>
      </c>
      <c r="B42" s="3"/>
      <c r="C42" s="3"/>
      <c r="D42" s="3"/>
      <c r="E42" s="3"/>
      <c r="F42" s="3"/>
    </row>
    <row r="43" customFormat="false" ht="18" hidden="false" customHeight="true" outlineLevel="0" collapsed="false">
      <c r="A43" s="2" t="s">
        <v>40</v>
      </c>
      <c r="B43" s="3"/>
      <c r="C43" s="3"/>
      <c r="D43" s="3"/>
      <c r="E43" s="3"/>
      <c r="F43" s="3"/>
    </row>
  </sheetData>
  <mergeCells count="34">
    <mergeCell ref="A1:F1"/>
    <mergeCell ref="B2:D2"/>
    <mergeCell ref="A6:F6"/>
    <mergeCell ref="A13:F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A24:F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A36:B36"/>
    <mergeCell ref="C36:D36"/>
    <mergeCell ref="E36:F36"/>
    <mergeCell ref="A38:F38"/>
    <mergeCell ref="B39:F39"/>
    <mergeCell ref="B40:F40"/>
    <mergeCell ref="B41:F41"/>
    <mergeCell ref="B42:F42"/>
    <mergeCell ref="B43:F43"/>
  </mergeCells>
  <conditionalFormatting sqref="F2">
    <cfRule type="expression" priority="2" aboveAverage="0" equalAverage="0" bottom="0" percent="0" rank="0" text="" dxfId="0">
      <formula>ISNUMBER(SEARCH("Op schema",F2))</formula>
    </cfRule>
    <cfRule type="expression" priority="3" aboveAverage="0" equalAverage="0" bottom="0" percent="0" rank="0" text="" dxfId="1">
      <formula>ISNUMBER(SEARCH("Aandacht",F2))</formula>
    </cfRule>
    <cfRule type="expression" priority="4" aboveAverage="0" equalAverage="0" bottom="0" percent="0" rank="0" text="" dxfId="2">
      <formula>ISNUMBER(SEARCH("Kritiek",F2))</formula>
    </cfRule>
  </conditionalFormatting>
  <conditionalFormatting sqref="E15:E22">
    <cfRule type="expression" priority="5" aboveAverage="0" equalAverage="0" bottom="0" percent="0" rank="0" text="" dxfId="0">
      <formula>ISNUMBER(SEARCH("Op schema",E15))</formula>
    </cfRule>
    <cfRule type="expression" priority="6" aboveAverage="0" equalAverage="0" bottom="0" percent="0" rank="0" text="" dxfId="1">
      <formula>ISNUMBER(SEARCH("Aandacht",E15))</formula>
    </cfRule>
    <cfRule type="expression" priority="7" aboveAverage="0" equalAverage="0" bottom="0" percent="0" rank="0" text="" dxfId="2">
      <formula>ISNUMBER(SEARCH("Kritiek",E15))</formula>
    </cfRule>
  </conditionalFormatting>
  <conditionalFormatting sqref="F26:F35">
    <cfRule type="expression" priority="8" aboveAverage="0" equalAverage="0" bottom="0" percent="0" rank="0" text="" dxfId="2">
      <formula>ISNUMBER(SEARCH("Verlopen",F26))</formula>
    </cfRule>
    <cfRule type="expression" priority="9" aboveAverage="0" equalAverage="0" bottom="0" percent="0" rank="0" text="" dxfId="1">
      <formula>ISNUMBER(SEARCH("Binnen 2",F26))</formula>
    </cfRule>
    <cfRule type="expression" priority="10" aboveAverage="0" equalAverage="0" bottom="0" percent="0" rank="0" text="" dxfId="0">
      <formula>ISNUMBER(SEARCH("Op schema",F26))</formula>
    </cfRule>
    <cfRule type="expression" priority="11" aboveAverage="0" equalAverage="0" bottom="0" percent="0" rank="0" text="" dxfId="3">
      <formula>ISNUMBER(SEARCH("Afgerond",F26))</formula>
    </cfRule>
  </conditionalFormatting>
  <conditionalFormatting sqref="A26:E35">
    <cfRule type="expression" priority="12" aboveAverage="0" equalAverage="0" bottom="0" percent="0" rank="0" text="" dxfId="4">
      <formula>ISNUMBER(SEARCH("Gereed",$A26))</formula>
    </cfRule>
  </conditionalFormatting>
  <conditionalFormatting sqref="C8:C9">
    <cfRule type="expression" priority="13" aboveAverage="0" equalAverage="0" bottom="0" percent="0" rank="0" text="" dxfId="2">
      <formula>AND(ISNUMBER(C8),ISNUMBER(B8),C8&gt;B8)</formula>
    </cfRule>
  </conditionalFormatting>
  <conditionalFormatting sqref="F9">
    <cfRule type="expression" priority="14" aboveAverage="0" equalAverage="0" bottom="0" percent="0" rank="0" text="" dxfId="1">
      <formula>AND(F9&lt;&gt;"",F8&lt;&gt;"",IFERROR(MATCH(F9,lst_Kwartaal,0)&lt;MATCH(F8,lst_Kwartaal,0),0))</formula>
    </cfRule>
  </conditionalFormatting>
  <conditionalFormatting sqref="F10">
    <cfRule type="expression" priority="15" aboveAverage="0" equalAverage="0" bottom="0" percent="0" rank="0" text="" dxfId="1">
      <formula>AND(F10&lt;&gt;"",F9&lt;&gt;"",IFERROR(MATCH(F10,lst_Kwartaal,0)&lt;MATCH(F9,lst_Kwartaal,0),0))</formula>
    </cfRule>
  </conditionalFormatting>
  <dataValidations count="11">
    <dataValidation allowBlank="true" error="Kies een waarde uit de lijst (beheer op tabblad Lijsten)." errorStyle="stop" errorTitle="Ongeldige keuze" operator="between" showDropDown="false" showErrorMessage="true" showInputMessage="false" sqref="F2" type="list">
      <formula1>lst_Status</formula1>
      <formula2>0</formula2>
    </dataValidation>
    <dataValidation allowBlank="true" error="Kies een waarde uit de lijst (beheer op tabblad Lijsten)." errorStyle="stop" errorTitle="Ongeldige keuze" operator="between" showDropDown="false" showErrorMessage="true" showInputMessage="false" sqref="F3" type="list">
      <formula1>lst_Soort</formula1>
      <formula2>0</formula2>
    </dataValidation>
    <dataValidation allowBlank="true" error="Kies een waarde uit de lijst (beheer op tabblad Lijsten)." errorStyle="stop" errorTitle="Ongeldige keuze" operator="between" showDropDown="false" showErrorMessage="true" showInputMessage="false" sqref="B4" type="list">
      <formula1>lst_Fase</formula1>
      <formula2>0</formula2>
    </dataValidation>
    <dataValidation allowBlank="true" error="Kies een waarde uit de lijst (beheer op tabblad Lijsten)." errorStyle="stop" errorTitle="Ongeldige keuze" operator="between" showDropDown="false" showErrorMessage="true" showInputMessage="false" sqref="D4 F4" type="list">
      <formula1>lst_Personen</formula1>
      <formula2>0</formula2>
    </dataValidation>
    <dataValidation allowBlank="true" error="Voer een datum in, bijv. 9-9-2026." errorStyle="stop" errorTitle="Ongeldige datum" operator="greaterThan" showDropDown="false" showErrorMessage="true" showInputMessage="false" sqref="B3 E26:E35" type="date">
      <formula1>DATE(2000,1,1)</formula1>
      <formula2>0</formula2>
    </dataValidation>
    <dataValidation allowBlank="true" error="Kies een waarde uit de lijst (beheer op tabblad Lijsten)." errorStyle="stop" errorTitle="Ongeldige keuze" operator="between" showDropDown="false" showErrorMessage="true" showInputMessage="false" sqref="F8:F10" type="list">
      <formula1>lst_Kwartaal</formula1>
      <formula2>0</formula2>
    </dataValidation>
    <dataValidation allowBlank="true" error="Voer een getal ≥ 0 in." errorStyle="stop" operator="greaterThanOrEqual" showDropDown="false" showErrorMessage="true" showInputMessage="false" sqref="B8:C9 B11 D11" type="decimal">
      <formula1>0</formula1>
      <formula2>0</formula2>
    </dataValidation>
    <dataValidation allowBlank="true" error="Kies een waarde uit de lijst (beheer op tabblad Lijsten)." errorStyle="stop" errorTitle="Ongeldige keuze" operator="between" showDropDown="false" showErrorMessage="true" showInputMessage="false" sqref="A15:A22" type="list">
      <formula1>lst_Type</formula1>
      <formula2>0</formula2>
    </dataValidation>
    <dataValidation allowBlank="true" error="Kies een waarde uit de lijst (beheer op tabblad Lijsten)." errorStyle="stop" errorTitle="Ongeldige keuze" operator="between" showDropDown="false" showErrorMessage="true" showInputMessage="false" sqref="E15:E22" type="list">
      <formula1>lst_Status</formula1>
      <formula2>0</formula2>
    </dataValidation>
    <dataValidation allowBlank="true" error="Kies een waarde uit de lijst (beheer op tabblad Lijsten)." errorStyle="stop" errorTitle="Ongeldige keuze" operator="between" showDropDown="false" showErrorMessage="true" showInputMessage="false" sqref="A26:A35" type="list">
      <formula1>lst_Actie</formula1>
      <formula2>0</formula2>
    </dataValidation>
    <dataValidation allowBlank="true" error="Kies een waarde uit de lijst (beheer op tabblad Lijsten)." errorStyle="stop" errorTitle="Ongeldige keuze" operator="between" showDropDown="false" showErrorMessage="true" showInputMessage="false" sqref="D26:D35" type="list">
      <formula1>lst_Personen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</cols>
  <sheetData>
    <row r="1" customFormat="false" ht="15" hidden="false" customHeight="false" outlineLevel="0" collapsed="false">
      <c r="A1" s="12" t="s">
        <v>1</v>
      </c>
      <c r="B1" s="12" t="s">
        <v>41</v>
      </c>
      <c r="C1" s="12" t="s">
        <v>4</v>
      </c>
      <c r="D1" s="12" t="s">
        <v>42</v>
      </c>
      <c r="E1" s="12" t="s">
        <v>25</v>
      </c>
      <c r="F1" s="12" t="s">
        <v>30</v>
      </c>
      <c r="G1" s="12" t="s">
        <v>14</v>
      </c>
      <c r="I1" s="13" t="s">
        <v>43</v>
      </c>
    </row>
    <row r="2" customFormat="false" ht="15" hidden="false" customHeight="false" outlineLevel="0" collapsed="false">
      <c r="A2" s="14" t="s">
        <v>44</v>
      </c>
      <c r="B2" s="14" t="s">
        <v>45</v>
      </c>
      <c r="C2" s="14" t="s">
        <v>46</v>
      </c>
      <c r="D2" s="14" t="s">
        <v>47</v>
      </c>
      <c r="E2" s="14" t="s">
        <v>48</v>
      </c>
      <c r="F2" s="14" t="s">
        <v>49</v>
      </c>
      <c r="G2" s="14" t="s">
        <v>50</v>
      </c>
    </row>
    <row r="3" customFormat="false" ht="15" hidden="false" customHeight="false" outlineLevel="0" collapsed="false">
      <c r="A3" s="14" t="s">
        <v>51</v>
      </c>
      <c r="B3" s="14" t="s">
        <v>52</v>
      </c>
      <c r="C3" s="14" t="s">
        <v>53</v>
      </c>
      <c r="D3" s="14" t="s">
        <v>54</v>
      </c>
      <c r="E3" s="14" t="s">
        <v>55</v>
      </c>
      <c r="F3" s="14" t="s">
        <v>56</v>
      </c>
      <c r="G3" s="14" t="s">
        <v>57</v>
      </c>
    </row>
    <row r="4" customFormat="false" ht="15" hidden="false" customHeight="false" outlineLevel="0" collapsed="false">
      <c r="A4" s="14" t="s">
        <v>58</v>
      </c>
      <c r="B4" s="14" t="s">
        <v>59</v>
      </c>
      <c r="C4" s="14" t="s">
        <v>60</v>
      </c>
      <c r="D4" s="14" t="s">
        <v>61</v>
      </c>
      <c r="E4" s="14" t="s">
        <v>62</v>
      </c>
      <c r="F4" s="14" t="s">
        <v>63</v>
      </c>
      <c r="G4" s="14" t="s">
        <v>64</v>
      </c>
    </row>
    <row r="5" customFormat="false" ht="15" hidden="false" customHeight="false" outlineLevel="0" collapsed="false">
      <c r="B5" s="14" t="s">
        <v>65</v>
      </c>
      <c r="C5" s="14" t="s">
        <v>66</v>
      </c>
      <c r="D5" s="14" t="s">
        <v>67</v>
      </c>
      <c r="E5" s="14" t="s">
        <v>68</v>
      </c>
      <c r="G5" s="14" t="s">
        <v>69</v>
      </c>
    </row>
    <row r="6" customFormat="false" ht="15" hidden="false" customHeight="false" outlineLevel="0" collapsed="false">
      <c r="B6" s="14" t="s">
        <v>70</v>
      </c>
      <c r="D6" s="14" t="s">
        <v>71</v>
      </c>
      <c r="G6" s="14" t="s">
        <v>72</v>
      </c>
    </row>
    <row r="7" customFormat="false" ht="15" hidden="false" customHeight="false" outlineLevel="0" collapsed="false">
      <c r="B7" s="14" t="s">
        <v>73</v>
      </c>
      <c r="G7" s="14" t="s">
        <v>74</v>
      </c>
    </row>
    <row r="8" customFormat="false" ht="15" hidden="false" customHeight="false" outlineLevel="0" collapsed="false">
      <c r="B8" s="14" t="s">
        <v>20</v>
      </c>
      <c r="G8" s="14" t="s">
        <v>75</v>
      </c>
    </row>
    <row r="9" customFormat="false" ht="15" hidden="false" customHeight="false" outlineLevel="0" collapsed="false">
      <c r="B9" s="14" t="s">
        <v>76</v>
      </c>
      <c r="G9" s="14" t="s">
        <v>77</v>
      </c>
    </row>
    <row r="10" customFormat="false" ht="15" hidden="false" customHeight="false" outlineLevel="0" collapsed="false">
      <c r="G10" s="14" t="s">
        <v>78</v>
      </c>
    </row>
    <row r="11" customFormat="false" ht="15" hidden="false" customHeight="false" outlineLevel="0" collapsed="false">
      <c r="G11" s="14" t="s">
        <v>79</v>
      </c>
    </row>
    <row r="12" customFormat="false" ht="15" hidden="false" customHeight="false" outlineLevel="0" collapsed="false">
      <c r="G12" s="14" t="s">
        <v>80</v>
      </c>
    </row>
    <row r="13" customFormat="false" ht="15" hidden="false" customHeight="false" outlineLevel="0" collapsed="false">
      <c r="G13" s="14" t="s">
        <v>81</v>
      </c>
    </row>
    <row r="14" customFormat="false" ht="15" hidden="false" customHeight="false" outlineLevel="0" collapsed="false">
      <c r="G14" s="14" t="s">
        <v>82</v>
      </c>
    </row>
    <row r="15" customFormat="false" ht="15" hidden="false" customHeight="false" outlineLevel="0" collapsed="false">
      <c r="G15" s="14" t="s">
        <v>83</v>
      </c>
    </row>
    <row r="16" customFormat="false" ht="15" hidden="false" customHeight="false" outlineLevel="0" collapsed="false">
      <c r="G16" s="14" t="s">
        <v>84</v>
      </c>
    </row>
    <row r="17" customFormat="false" ht="15" hidden="false" customHeight="false" outlineLevel="0" collapsed="false">
      <c r="G17" s="14" t="s">
        <v>85</v>
      </c>
    </row>
    <row r="18" customFormat="false" ht="15" hidden="false" customHeight="false" outlineLevel="0" collapsed="false">
      <c r="G18" s="14" t="s">
        <v>86</v>
      </c>
    </row>
    <row r="19" customFormat="false" ht="15" hidden="false" customHeight="false" outlineLevel="0" collapsed="false">
      <c r="G19" s="14" t="s">
        <v>87</v>
      </c>
    </row>
    <row r="20" customFormat="false" ht="15" hidden="false" customHeight="false" outlineLevel="0" collapsed="false">
      <c r="G20" s="14" t="s">
        <v>88</v>
      </c>
    </row>
    <row r="21" customFormat="false" ht="15" hidden="false" customHeight="false" outlineLevel="0" collapsed="false">
      <c r="G21" s="14" t="s">
        <v>89</v>
      </c>
    </row>
    <row r="22" customFormat="false" ht="15" hidden="false" customHeight="false" outlineLevel="0" collapsed="false">
      <c r="G22" s="14" t="s">
        <v>90</v>
      </c>
    </row>
    <row r="23" customFormat="false" ht="15" hidden="false" customHeight="false" outlineLevel="0" collapsed="false">
      <c r="G23" s="14" t="s">
        <v>91</v>
      </c>
    </row>
    <row r="24" customFormat="false" ht="15" hidden="false" customHeight="false" outlineLevel="0" collapsed="false">
      <c r="G24" s="14" t="s">
        <v>92</v>
      </c>
    </row>
    <row r="25" customFormat="false" ht="15" hidden="false" customHeight="false" outlineLevel="0" collapsed="false">
      <c r="G25" s="14" t="s">
        <v>93</v>
      </c>
    </row>
    <row r="26" customFormat="false" ht="15" hidden="false" customHeight="false" outlineLevel="0" collapsed="false">
      <c r="G26" s="14" t="s">
        <v>94</v>
      </c>
    </row>
    <row r="27" customFormat="false" ht="15" hidden="false" customHeight="false" outlineLevel="0" collapsed="false">
      <c r="G27" s="14" t="s">
        <v>95</v>
      </c>
    </row>
    <row r="28" customFormat="false" ht="15" hidden="false" customHeight="false" outlineLevel="0" collapsed="false">
      <c r="G28" s="14" t="s">
        <v>96</v>
      </c>
    </row>
    <row r="29" customFormat="false" ht="15" hidden="false" customHeight="false" outlineLevel="0" collapsed="false">
      <c r="G29" s="14" t="s">
        <v>97</v>
      </c>
    </row>
    <row r="30" customFormat="false" ht="15" hidden="false" customHeight="false" outlineLevel="0" collapsed="false">
      <c r="G30" s="14" t="s">
        <v>98</v>
      </c>
    </row>
    <row r="31" customFormat="false" ht="15" hidden="false" customHeight="false" outlineLevel="0" collapsed="false">
      <c r="G31" s="14" t="s">
        <v>99</v>
      </c>
    </row>
    <row r="32" customFormat="false" ht="15" hidden="false" customHeight="false" outlineLevel="0" collapsed="false">
      <c r="G32" s="14" t="s">
        <v>100</v>
      </c>
    </row>
    <row r="33" customFormat="false" ht="15" hidden="false" customHeight="false" outlineLevel="0" collapsed="false">
      <c r="G33" s="14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5" t="s">
        <v>102</v>
      </c>
    </row>
    <row r="2" customFormat="false" ht="15" hidden="false" customHeight="false" outlineLevel="0" collapsed="false">
      <c r="A2" s="16"/>
    </row>
    <row r="3" customFormat="false" ht="15" hidden="false" customHeight="false" outlineLevel="0" collapsed="false">
      <c r="A3" s="16" t="s">
        <v>103</v>
      </c>
    </row>
    <row r="4" customFormat="false" ht="15" hidden="false" customHeight="false" outlineLevel="0" collapsed="false">
      <c r="A4" s="16" t="s">
        <v>104</v>
      </c>
    </row>
    <row r="5" customFormat="false" ht="15" hidden="false" customHeight="false" outlineLevel="0" collapsed="false">
      <c r="A5" s="16" t="s">
        <v>105</v>
      </c>
    </row>
    <row r="6" customFormat="false" ht="15" hidden="false" customHeight="false" outlineLevel="0" collapsed="false">
      <c r="A6" s="16"/>
    </row>
    <row r="7" customFormat="false" ht="15" hidden="false" customHeight="false" outlineLevel="0" collapsed="false">
      <c r="A7" s="17" t="s">
        <v>106</v>
      </c>
    </row>
    <row r="8" customFormat="false" ht="15" hidden="false" customHeight="false" outlineLevel="0" collapsed="false">
      <c r="A8" s="16" t="s">
        <v>107</v>
      </c>
    </row>
    <row r="9" customFormat="false" ht="15" hidden="false" customHeight="false" outlineLevel="0" collapsed="false">
      <c r="A9" s="16" t="s">
        <v>108</v>
      </c>
    </row>
    <row r="10" customFormat="false" ht="15" hidden="false" customHeight="false" outlineLevel="0" collapsed="false">
      <c r="A10" s="16" t="s">
        <v>109</v>
      </c>
    </row>
    <row r="11" customFormat="false" ht="15" hidden="false" customHeight="false" outlineLevel="0" collapsed="false">
      <c r="A11" s="16" t="s">
        <v>110</v>
      </c>
    </row>
    <row r="12" customFormat="false" ht="15" hidden="false" customHeight="false" outlineLevel="0" collapsed="false">
      <c r="A12" s="16" t="s">
        <v>111</v>
      </c>
    </row>
    <row r="13" customFormat="false" ht="15" hidden="false" customHeight="false" outlineLevel="0" collapsed="false">
      <c r="A13" s="16"/>
    </row>
    <row r="14" customFormat="false" ht="15" hidden="false" customHeight="false" outlineLevel="0" collapsed="false">
      <c r="A14" s="17" t="s">
        <v>112</v>
      </c>
    </row>
    <row r="15" customFormat="false" ht="15" hidden="false" customHeight="false" outlineLevel="0" collapsed="false">
      <c r="A15" s="16" t="s">
        <v>113</v>
      </c>
    </row>
    <row r="16" customFormat="false" ht="15" hidden="false" customHeight="false" outlineLevel="0" collapsed="false">
      <c r="A16" s="16"/>
    </row>
    <row r="17" customFormat="false" ht="15" hidden="false" customHeight="false" outlineLevel="0" collapsed="false">
      <c r="A17" s="16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2026-10-26T11:11:15Z</dcterms:created>
  <dc:creator>openpyxl</dc:creator>
  <dc:description/>
  <dc:language>en-US</dc:language>
  <cp:lastModifiedBy/>
  <dcterms:modified xsi:type="dcterms:W3CDTF">2026-10-26T11:11:15Z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