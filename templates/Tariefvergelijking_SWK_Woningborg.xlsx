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gelijking" sheetId="1" state="visible" r:id="rId3"/>
    <sheet name="Tarieven SWK" sheetId="2" state="visible" r:id="rId4"/>
    <sheet name="Tarieven Woningborg" sheetId="3" state="visible" r:id="rId5"/>
    <sheet name="Toelichting" sheetId="4" state="visible" r:id="rId6"/>
  </sheets>
  <definedNames>
    <definedName function="false" hidden="false" localSheetId="1" name="_xlnm.Print_Area" vbProcedure="false">'Tarieven SWK'!$A$1:$I$37</definedName>
    <definedName function="false" hidden="false" localSheetId="2" name="_xlnm.Print_Area" vbProcedure="false">'Tarieven Woningborg'!$A$1:$I$45</definedName>
    <definedName function="false" hidden="false" localSheetId="0" name="_xlnm.Print_Area" vbProcedure="false">Vergelijking!$A$1:$H$56</definedName>
    <definedName function="false" hidden="false" name="AanneemsomExcl" vbProcedure="false">Vergelijking!$D$13</definedName>
    <definedName function="false" hidden="false" name="AanneemsomIncl" vbProcedure="false">Vergelijking!$D$16</definedName>
    <definedName function="false" hidden="false" name="AantalWoningen" vbProcedure="false">Vergelijking!$D$12</definedName>
    <definedName function="false" hidden="false" name="Bouwlagen" vbProcedure="false">Vergelijking!$D$18</definedName>
    <definedName function="false" hidden="false" name="BtwKoopsom" vbProcedure="false">Vergelijking!$C$15</definedName>
    <definedName function="false" hidden="false" name="GrondExcl" vbProcedure="false">Vergelijking!$D$14</definedName>
    <definedName function="false" hidden="false" name="KeuzeBouwtijd" vbProcedure="false">Vergelijking!$H$13</definedName>
    <definedName function="false" hidden="false" name="KeuzeHoogbouw" vbProcedure="false">Vergelijking!$H$14</definedName>
    <definedName function="false" hidden="false" name="KeuzeZakelijk" vbProcedure="false">Vergelijking!$H$12</definedName>
    <definedName function="false" hidden="false" name="KoopAanneemIncl" vbProcedure="false">Vergelijking!$D$17</definedName>
    <definedName function="false" hidden="false" name="SWK_Btw" vbProcedure="false">'Tarieven SWK'!$H$36</definedName>
    <definedName function="false" hidden="false" name="SWK_Excl" vbProcedure="false">'Tarieven SWK'!$H$35</definedName>
    <definedName function="false" hidden="false" name="SWK_Incl" vbProcedure="false">'Tarieven SWK'!$H$37</definedName>
    <definedName function="false" hidden="false" name="SWK_Opslag" vbProcedure="false">'Tarieven SWK'!$H$23</definedName>
    <definedName function="false" hidden="false" name="SWK_Overig" vbProcedure="false">'Tarieven SWK'!$H$33</definedName>
    <definedName function="false" hidden="false" name="SWK_Premie" vbProcedure="false">('Tarieven SWK'!$G$12+'Tarieven SWK'!$G$13)</definedName>
    <definedName function="false" hidden="false" name="WB_Btw" vbProcedure="false">'Tarieven Woningborg'!$H$44</definedName>
    <definedName function="false" hidden="false" name="WB_Excl" vbProcedure="false">'Tarieven Woningborg'!$H$43</definedName>
    <definedName function="false" hidden="false" name="WB_GrondslagSoort" vbProcedure="false">'Tarieven Woningborg'!$D$25</definedName>
    <definedName function="false" hidden="false" name="WB_Hoog" vbProcedure="false">Vergelijking!$H$17</definedName>
    <definedName function="false" hidden="false" name="WB_Incl" vbProcedure="false">'Tarieven Woningborg'!$H$45</definedName>
    <definedName function="false" hidden="false" name="WB_Opslag" vbProcedure="false">0</definedName>
    <definedName function="false" hidden="false" name="WB_Overig" vbProcedure="false">'Tarieven Woningborg'!$H$40</definedName>
    <definedName function="false" hidden="false" name="WB_Premie" vbProcedure="false">'Tarieven Woningborg'!$H$27</definedName>
    <definedName function="false" hidden="false" name="WB_Regeling" vbProcedure="false">Vergelijking!$H$16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<sst xmlns="http://schemas.openxmlformats.org/spreadsheetml/2006/main" count="228" uniqueCount="170">
  <si>
    <t xml:space="preserve">HEIJMANS  |  VASTGOED</t>
  </si>
  <si>
    <t xml:space="preserve">Vergelijking SWK  vs.  Woningborg  |  Garantie- en Waarborgregeling</t>
  </si>
  <si>
    <t xml:space="preserve">Blauwe cijfers op geel = invoer  ·  Tarieven: 'Tarieven SWK' (rekenmodel 2026) en 'Tarieven Woningborg' (tarievenbrief 2027)</t>
  </si>
  <si>
    <t xml:space="preserve">SWK  (EXCL. BTW)</t>
  </si>
  <si>
    <t xml:space="preserve">WONINGBORG  (EXCL. BTW)</t>
  </si>
  <si>
    <t xml:space="preserve">VERSCHIL</t>
  </si>
  <si>
    <t xml:space="preserve">VOORDELIGST</t>
  </si>
  <si>
    <t xml:space="preserve">PROJECT</t>
  </si>
  <si>
    <t xml:space="preserve">KEUZES</t>
  </si>
  <si>
    <t xml:space="preserve">Projectnaam</t>
  </si>
  <si>
    <t xml:space="preserve">Voorbeeldproject</t>
  </si>
  <si>
    <t xml:space="preserve">SWK</t>
  </si>
  <si>
    <t xml:space="preserve">Aantal woningen</t>
  </si>
  <si>
    <t xml:space="preserve">Verlengde garantie zakelijk</t>
  </si>
  <si>
    <t xml:space="preserve">nee</t>
  </si>
  <si>
    <t xml:space="preserve">Aanneemsom (excl. btw)</t>
  </si>
  <si>
    <t xml:space="preserve">Prognose bouwtijd &gt; 3 jaar</t>
  </si>
  <si>
    <t xml:space="preserve">Koopsom grond (excl. btw)</t>
  </si>
  <si>
    <t xml:space="preserve">Hoogbouwopslag (&gt; 13 bouwlagen)</t>
  </si>
  <si>
    <t xml:space="preserve">Woningborg</t>
  </si>
  <si>
    <t xml:space="preserve">Aanneemsom (incl. btw)</t>
  </si>
  <si>
    <t xml:space="preserve">Regeling / certificaat</t>
  </si>
  <si>
    <t xml:space="preserve">Particulier nieuwbouw – verkoop met grond</t>
  </si>
  <si>
    <t xml:space="preserve">Koop- en aanneemsom (incl. btw)</t>
  </si>
  <si>
    <t xml:space="preserve">Hoogbouwtarief (vanaf 13 lagen)</t>
  </si>
  <si>
    <t xml:space="preserve">Aantal bouwlagen boven straatpeil</t>
  </si>
  <si>
    <t xml:space="preserve">Grondslag premie</t>
  </si>
  <si>
    <t xml:space="preserve">KOSTENVERGELIJKING</t>
  </si>
  <si>
    <t xml:space="preserve">Kostenpost</t>
  </si>
  <si>
    <t xml:space="preserve">Verschil (WB − SWK)</t>
  </si>
  <si>
    <t xml:space="preserve">Voordeligst</t>
  </si>
  <si>
    <t xml:space="preserve">Toelichting</t>
  </si>
  <si>
    <t xml:space="preserve">Provisie / premie</t>
  </si>
  <si>
    <t xml:space="preserve">SWK: Sectie I + II  ·  WB: tarief × grondslag regeling</t>
  </si>
  <si>
    <t xml:space="preserve">Opslagen</t>
  </si>
  <si>
    <t xml:space="preserve">WB: hoogbouw zit in het tarief zelf</t>
  </si>
  <si>
    <t xml:space="preserve">Overige / bijkomende kosten</t>
  </si>
  <si>
    <t xml:space="preserve">SWK: bureaukosten  ·  WB: bezoeken, metingen, diensten</t>
  </si>
  <si>
    <t xml:space="preserve">Totaal excl. btw</t>
  </si>
  <si>
    <t xml:space="preserve">Relevante vergelijking als de btw aftrekbaar is</t>
  </si>
  <si>
    <t xml:space="preserve">Btw over tarieven</t>
  </si>
  <si>
    <t xml:space="preserve">Percentages: zie de tariefbladen</t>
  </si>
  <si>
    <t xml:space="preserve">Totaal incl. btw</t>
  </si>
  <si>
    <t xml:space="preserve">Kosten per woning (excl. btw)</t>
  </si>
  <si>
    <t xml:space="preserve">In % van aanneemsom incl. btw</t>
  </si>
  <si>
    <t xml:space="preserve">Zelfde noemer voor beide, zodat ze vergelijkbaar zijn</t>
  </si>
  <si>
    <t xml:space="preserve">Positief verschil = Woningborg duurder; negatief = Woningborg goedkoper.</t>
  </si>
  <si>
    <t xml:space="preserve">CONTROLES</t>
  </si>
  <si>
    <t xml:space="preserve">LET OP: VERSCHILLEN IN REKENWIJZE</t>
  </si>
  <si>
    <t xml:space="preserve">Invoer compleet</t>
  </si>
  <si>
    <t xml:space="preserve">• SWK: twee provisies + opslagen over de aanneemsom. WB: één tarief over de koop- én aanneemsom.</t>
  </si>
  <si>
    <t xml:space="preserve">Keuzes geldig</t>
  </si>
  <si>
    <t xml:space="preserve">• WB rekent btw over de premie; het SWK-rekenmodel noemt geen btw (staat op 0%, controleren).</t>
  </si>
  <si>
    <t xml:space="preserve">Tarieven SWK bevestigd</t>
  </si>
  <si>
    <t xml:space="preserve">• Hoogbouw: SWK-opslag bij &gt; 13 lagen, WB-hoogbouwtarief vanaf 13 lagen.</t>
  </si>
  <si>
    <t xml:space="preserve">Tarieven Woningborg bevestigd</t>
  </si>
  <si>
    <t xml:space="preserve">• Tariefjaar verschilt: SWK 2026 (rekenmodel), Woningborg 2027 (tarievenbrief).</t>
  </si>
  <si>
    <t xml:space="preserve">Koopsom grond ingevuld (bij 'met grond')</t>
  </si>
  <si>
    <t xml:space="preserve">• WB-bouwplaatsbezoeken/geluidsmetingen alleen bij transformatie en houtbouw (op offerte).</t>
  </si>
  <si>
    <t xml:space="preserve">Tarieven SWK  |  Garantie- en Waarborgregeling</t>
  </si>
  <si>
    <t xml:space="preserve">Blauwe cijfers op geel = tarief/keuze aanpassen  ·  Lichtblauw = berekening (rekent met de invoer op 'Vergelijking')</t>
  </si>
  <si>
    <t xml:space="preserve">Bron / tarieflijst</t>
  </si>
  <si>
    <t xml:space="preserve">SWK Rekenmodel 2026 – Berekening Garantie- en Waarborgregeling</t>
  </si>
  <si>
    <t xml:space="preserve">Bevestigd?</t>
  </si>
  <si>
    <t xml:space="preserve">ja</t>
  </si>
  <si>
    <t xml:space="preserve">Het SWK-rekenmodel noemt geen btw over de provisie; controleren en zo nodig op 21% zetten</t>
  </si>
  <si>
    <t xml:space="preserve">BASISPROVISIES</t>
  </si>
  <si>
    <t xml:space="preserve">Tarief</t>
  </si>
  <si>
    <t xml:space="preserve">Grondslag %</t>
  </si>
  <si>
    <t xml:space="preserve">Grondslag (€)</t>
  </si>
  <si>
    <t xml:space="preserve">Bedrag (€)</t>
  </si>
  <si>
    <t xml:space="preserve">(grondslag = % van de aanneemsom incl. btw)</t>
  </si>
  <si>
    <t xml:space="preserve">Provisie Sectie I (Afbouw)</t>
  </si>
  <si>
    <t xml:space="preserve">Over 20% van de aanneemsom incl. btw</t>
  </si>
  <si>
    <t xml:space="preserve">Provisie Sectie II (Kwaliteit)</t>
  </si>
  <si>
    <t xml:space="preserve">Over de aanneemsom incl. btw</t>
  </si>
  <si>
    <t xml:space="preserve">OPSLAGEN</t>
  </si>
  <si>
    <t xml:space="preserve">Omschrijving</t>
  </si>
  <si>
    <t xml:space="preserve">Berekend over</t>
  </si>
  <si>
    <t xml:space="preserve">Van toepassing bij</t>
  </si>
  <si>
    <t xml:space="preserve">Actief</t>
  </si>
  <si>
    <t xml:space="preserve">Opslag hoogbouw</t>
  </si>
  <si>
    <t xml:space="preserve">Sectie II</t>
  </si>
  <si>
    <t xml:space="preserve">Hoogbouw</t>
  </si>
  <si>
    <t xml:space="preserve">&gt; 13 bouwlagen (volgt uit aantal bouwlagen)</t>
  </si>
  <si>
    <t xml:space="preserve">Opslag verlengde garantie zakelijk</t>
  </si>
  <si>
    <t xml:space="preserve">Zakelijk</t>
  </si>
  <si>
    <t xml:space="preserve">Alleen bij zakelijke opdrachtgever</t>
  </si>
  <si>
    <t xml:space="preserve">Opslag prognose bouwtijd &gt; 3 jaar</t>
  </si>
  <si>
    <t xml:space="preserve">Sectie I</t>
  </si>
  <si>
    <t xml:space="preserve">Bouwtijd &gt; 3 jaar</t>
  </si>
  <si>
    <t xml:space="preserve">Start bouw tot 1e oplevering</t>
  </si>
  <si>
    <t xml:space="preserve">Totaal</t>
  </si>
  <si>
    <t xml:space="preserve">OVERIGE KOSTEN</t>
  </si>
  <si>
    <t xml:space="preserve">Bedrag</t>
  </si>
  <si>
    <t xml:space="preserve">Per</t>
  </si>
  <si>
    <t xml:space="preserve">Aantal</t>
  </si>
  <si>
    <t xml:space="preserve">Bureaukosten, voorschot</t>
  </si>
  <si>
    <t xml:space="preserve">woning</t>
  </si>
  <si>
    <t xml:space="preserve">Altijd</t>
  </si>
  <si>
    <t xml:space="preserve">Voorschot per woning</t>
  </si>
  <si>
    <t xml:space="preserve">Totaal kosten SWK (excl. btw)</t>
  </si>
  <si>
    <t xml:space="preserve">Totaal kosten SWK (incl. btw)</t>
  </si>
  <si>
    <t xml:space="preserve">Tarieven Woningborg  |  Garantie- en Waarborgregeling</t>
  </si>
  <si>
    <t xml:space="preserve">Tarievenbrief Woningborg Verzekeren 2027 (18-09-2026), Heijmans Vastgoed – inschrijfnr. 4889</t>
  </si>
  <si>
    <t xml:space="preserve">Volgens de tarievenbrief: 'Over alle tarieven wordt btw in rekening gebracht'</t>
  </si>
  <si>
    <t xml:space="preserve">Geldig voor plannen geaccepteerd op of na 1 januari 2027. Particulier: grondslag incl. meer-/minderwerk en btw. Zakelijk: grondslag excl. btw.</t>
  </si>
  <si>
    <t xml:space="preserve">TARIEFMATRIX 2027  (% van de grondslag)</t>
  </si>
  <si>
    <t xml:space="preserve">Tot 13 lagen</t>
  </si>
  <si>
    <t xml:space="preserve">Vanaf 13 lagen</t>
  </si>
  <si>
    <t xml:space="preserve">Grondslag</t>
  </si>
  <si>
    <t xml:space="preserve">(kies de regeling op het tabblad 'Vergelijking')</t>
  </si>
  <si>
    <t xml:space="preserve">Koop- en aanneemsom incl. btw</t>
  </si>
  <si>
    <t xml:space="preserve">Ook bij afgekochte erfpachtcanon</t>
  </si>
  <si>
    <t xml:space="preserve">Particulier nieuwbouw – verkoop zonder grond</t>
  </si>
  <si>
    <t xml:space="preserve">Aanneemsom incl. btw</t>
  </si>
  <si>
    <t xml:space="preserve">Grond door derde verkocht / erfpacht zonder afkoop</t>
  </si>
  <si>
    <t xml:space="preserve">Kavelbouw</t>
  </si>
  <si>
    <t xml:space="preserve">Transformatie particulier</t>
  </si>
  <si>
    <t xml:space="preserve">Ook zonder grond over koop- en aanneemsom; + bijkomende kosten</t>
  </si>
  <si>
    <t xml:space="preserve">Zakelijk nieuwbouw – insolventie + herstel</t>
  </si>
  <si>
    <t xml:space="preserve">Aanneemsom excl. btw</t>
  </si>
  <si>
    <t xml:space="preserve">Zakelijk nieuwbouw – alleen insolventie</t>
  </si>
  <si>
    <t xml:space="preserve">Zakelijk transformatie – insolventie + herstel</t>
  </si>
  <si>
    <t xml:space="preserve">Koop- en aanneemsom excl. btw</t>
  </si>
  <si>
    <t xml:space="preserve">Gebouw valt WEL onder dekking; + bijkomende kosten</t>
  </si>
  <si>
    <t xml:space="preserve">Zakelijk transformatie – alleen insolventie</t>
  </si>
  <si>
    <t xml:space="preserve">Gebouw valt NIET onder dekking</t>
  </si>
  <si>
    <t xml:space="preserve">PREMIEBEREKENING</t>
  </si>
  <si>
    <t xml:space="preserve">Gekozen regeling</t>
  </si>
  <si>
    <t xml:space="preserve">Soort grondslag</t>
  </si>
  <si>
    <t xml:space="preserve">Premie</t>
  </si>
  <si>
    <t xml:space="preserve">BIJKOMENDE KOSTEN EN EXTRA DIENSTVERLENING</t>
  </si>
  <si>
    <t xml:space="preserve">Wanneer</t>
  </si>
  <si>
    <t xml:space="preserve">Totaal (€)</t>
  </si>
  <si>
    <t xml:space="preserve">Bouwplaatsbezoek (per bezoek)</t>
  </si>
  <si>
    <t xml:space="preserve">Transformatie / houtbouw</t>
  </si>
  <si>
    <t xml:space="preserve">Op offerte na eerste opname</t>
  </si>
  <si>
    <t xml:space="preserve">Geluidsmeting (per meting)</t>
  </si>
  <si>
    <t xml:space="preserve">Transformatie</t>
  </si>
  <si>
    <t xml:space="preserve">Opstellen depotovereenkomst</t>
  </si>
  <si>
    <t xml:space="preserve">Op verzoek</t>
  </si>
  <si>
    <t xml:space="preserve">Eenmalig</t>
  </si>
  <si>
    <t xml:space="preserve">Opstellen afbouwverklaring</t>
  </si>
  <si>
    <t xml:space="preserve">Laten vervallen van plan na risicobeoordeling</t>
  </si>
  <si>
    <t xml:space="preserve">Planacceptatie bij &lt; 70% verkocht</t>
  </si>
  <si>
    <t xml:space="preserve">Aanpassing standaard termijnregeling</t>
  </si>
  <si>
    <t xml:space="preserve">Jaarlijkse bijdrage (per onderneming)</t>
  </si>
  <si>
    <t xml:space="preserve">Per jaar</t>
  </si>
  <si>
    <t xml:space="preserve">Niet projectgebonden; standaard niet meegeteld</t>
  </si>
  <si>
    <t xml:space="preserve">Inschrijfgeld (per onderneming)</t>
  </si>
  <si>
    <t xml:space="preserve">Binnen concern € 1.133 per extra inschrijving</t>
  </si>
  <si>
    <t xml:space="preserve">Alle bedragen excl. btw. Vul bij 'Aantal' in wat voor dit project verwacht wordt.</t>
  </si>
  <si>
    <t xml:space="preserve">Totaal kosten Woningborg (excl. btw)</t>
  </si>
  <si>
    <t xml:space="preserve">Totaal kosten Woningborg (incl. btw)</t>
  </si>
  <si>
    <t xml:space="preserve">Hoe werkt deze vergelijking?</t>
  </si>
  <si>
    <t xml:space="preserve">1</t>
  </si>
  <si>
    <t xml:space="preserve">Vul op 'Vergelijking' het project in: aantal woningen, aanneemsom en koopsom grond (excl. btw), btw-% en aantal bouwlagen.</t>
  </si>
  <si>
    <t xml:space="preserve">2</t>
  </si>
  <si>
    <t xml:space="preserve">Kies de SWK-keuzes (zakelijk, bouwtijd) en de Woningborg-regeling. Hoogbouw volgt automatisch uit het aantal bouwlagen.</t>
  </si>
  <si>
    <t xml:space="preserve">3</t>
  </si>
  <si>
    <t xml:space="preserve">Vul op 'Tarieven Woningborg' bij 'Aantal' de verwachte bijkomende kosten in (bezoeken, metingen, extra diensten).</t>
  </si>
  <si>
    <t xml:space="preserve">Verschil in rekenwijze</t>
  </si>
  <si>
    <t xml:space="preserve">•</t>
  </si>
  <si>
    <t xml:space="preserve">SWK: provisie Sectie I (0,5198% over 20% van de aanneemsom) + Sectie II (0,0380% over de aanneemsom) + opslagen + € 750 bureaukosten per woning.</t>
  </si>
  <si>
    <t xml:space="preserve">Woningborg: één tarief per regeling over de koop- en aanneemsom (met grond) of de aanneemsom (zonder grond / kavelbouw). Hoogbouw (≥ 13 lagen) = hoger tarief, geen opslag.</t>
  </si>
  <si>
    <t xml:space="preserve">Woningborg particulier rekent over de som incl. btw en meer-/minderwerk, zakelijk over de som excl. btw. Over de premie zelf komt btw.</t>
  </si>
  <si>
    <t xml:space="preserve">De SWK-provisie staat zonder btw (0%), zoals in het SWK-rekenmodel. Controleer of SWK btw rekent en pas het percentage op 'Tarieven SWK' zo nodig aan.</t>
  </si>
  <si>
    <t xml:space="preserve">Tariefjaren: SWK 2026 (rekenmodel), Woningborg 2027 (tarievenbrief 18-09-2026). Werk de SWK-tarieven bij zodra die voor 2027 bekend zijn.</t>
  </si>
  <si>
    <t xml:space="preserve">Niet meegenomen: houtbouwtoeslag van Woningborg (na technische beoordeling) en SWK-beoordelingen (transformatie, hoogbouw &gt; 25 lagen, afwijkende termijnregeling).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</si>
</sst>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&quot;€ &quot;#,##0;[RED]&quot;(€ &quot;#,##0\);\-"/>
    <numFmt numFmtId="166" formatCode="#,##0"/>
    <numFmt numFmtId="167" formatCode="0%"/>
    <numFmt numFmtId="168" formatCode="0.00%"/>
    <numFmt numFmtId="169" formatCode="&quot;€ &quot;#,##0"/>
    <numFmt numFmtId="170" formatCode="0.0000%"/>
    <numFmt numFmtId="171" formatCode="0.0%"/>
    <numFmt numFmtId="172" formatCode="0.00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EB900"/>
      <name val="Arial"/>
      <family val="0"/>
      <charset val="1"/>
    </font>
    <font>
      <b val="true"/>
      <sz val="16"/>
      <color rgb="FF111F39"/>
      <name val="Arial"/>
      <family val="0"/>
      <charset val="1"/>
    </font>
    <font>
      <i val="true"/>
      <sz val="9"/>
      <color rgb="FF4A4F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003B5C"/>
      <name val="Arial"/>
      <family val="0"/>
      <charset val="1"/>
    </font>
    <font>
      <b val="true"/>
      <sz val="18"/>
      <color rgb="FFC98A00"/>
      <name val="Arial"/>
      <family val="0"/>
      <charset val="1"/>
    </font>
    <font>
      <b val="true"/>
      <sz val="18"/>
      <color rgb="FF111F3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i val="true"/>
      <sz val="9"/>
      <color rgb="FF003B5C"/>
      <name val="Arial"/>
      <family val="0"/>
      <charset val="1"/>
    </font>
    <font>
      <sz val="10"/>
      <color rgb="FF4A4F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i val="true"/>
      <sz val="9"/>
      <color rgb="FFC98A00"/>
      <name val="Arial"/>
      <family val="0"/>
      <charset val="1"/>
    </font>
    <font>
      <b val="true"/>
      <sz val="10"/>
      <color rgb="FF111F3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111F3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4A4F55"/>
      <name val="Arial"/>
      <family val="0"/>
      <charset val="1"/>
    </font>
    <font>
      <b val="true"/>
      <sz val="11"/>
      <color rgb="FF111F3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8"/>
      <color rgb="FF4A4F55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111F3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11F39"/>
        <bgColor rgb="FF003300"/>
      </patternFill>
    </fill>
    <fill>
      <patternFill patternType="solid">
        <fgColor rgb="FFFEB900"/>
        <bgColor rgb="FFC98A00"/>
      </patternFill>
    </fill>
    <fill>
      <patternFill patternType="solid">
        <fgColor rgb="FF003B5C"/>
        <bgColor rgb="FF111F39"/>
      </patternFill>
    </fill>
    <fill>
      <patternFill patternType="solid">
        <fgColor rgb="FFC98A00"/>
        <bgColor rgb="FFFF6600"/>
      </patternFill>
    </fill>
    <fill>
      <patternFill patternType="solid">
        <fgColor rgb="FFEAF3F8"/>
        <bgColor rgb="FFFFFFFF"/>
      </patternFill>
    </fill>
    <fill>
      <patternFill patternType="solid">
        <fgColor rgb="FFFFF3C4"/>
        <bgColor rgb="FFFDE9B8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03B5C"/>
      </bottom>
      <diagonal/>
    </border>
    <border diagonalUp="false" diagonalDown="false">
      <left/>
      <right/>
      <top/>
      <bottom style="medium">
        <color rgb="FFC98A00"/>
      </bottom>
      <diagonal/>
    </border>
    <border diagonalUp="false" diagonalDown="false">
      <left/>
      <right/>
      <top/>
      <bottom style="thin">
        <color rgb="FFD0D5DD"/>
      </bottom>
      <diagonal/>
    </border>
    <border diagonalUp="false" diagonalDown="false">
      <left/>
      <right/>
      <top/>
      <bottom style="medium">
        <color rgb="FF111F39"/>
      </bottom>
      <diagonal/>
    </border>
    <border diagonalUp="false" diagonalDown="false">
      <left/>
      <right/>
      <top style="medium">
        <color rgb="FF111F39"/>
      </top>
      <bottom style="medium">
        <color rgb="FF111F3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3" fillId="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9" fillId="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5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0" fillId="0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4" fillId="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9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6" fillId="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3" fillId="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3" fillId="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3" fillId="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2" fontId="13" fillId="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3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b val="1"/>
        <color rgb="FF003B5C"/>
      </font>
    </dxf>
    <dxf>
      <font>
        <b val="1"/>
        <color rgb="FFC98A00"/>
      </font>
    </dxf>
    <dxf>
      <font>
        <b val="1"/>
        <color rgb="FFFFFFFF"/>
      </font>
      <fill>
        <patternFill>
          <bgColor rgb="FF003B5C"/>
        </patternFill>
      </fill>
    </dxf>
    <dxf>
      <font>
        <b val="1"/>
        <color rgb="FFFFFFFF"/>
      </font>
      <fill>
        <patternFill>
          <bgColor rgb="FFC98A00"/>
        </patternFill>
      </fill>
    </dxf>
    <dxf>
      <font>
        <color rgb="FF38761D"/>
      </font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ont>
        <b val="1"/>
      </font>
      <fill>
        <patternFill>
          <bgColor rgb="FFFDE9B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3C4"/>
      <rgbColor rgb="FFEAF3F8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DE9B8"/>
      <rgbColor rgb="FF99CCFF"/>
      <rgbColor rgb="FFFF99CC"/>
      <rgbColor rgb="FFCC99FF"/>
      <rgbColor rgb="FFF4CCCC"/>
      <rgbColor rgb="FF3366FF"/>
      <rgbColor rgb="FF33CCCC"/>
      <rgbColor rgb="FF99CC00"/>
      <rgbColor rgb="FFFEB900"/>
      <rgbColor rgb="FFC98A00"/>
      <rgbColor rgb="FFFF6600"/>
      <rgbColor rgb="FF4A4F55"/>
      <rgbColor rgb="FF969696"/>
      <rgbColor rgb="FF003B5C"/>
      <rgbColor rgb="FF38761D"/>
      <rgbColor rgb="FF003300"/>
      <rgbColor rgb="FF333300"/>
      <rgbColor rgb="FF993300"/>
      <rgbColor rgb="FF993366"/>
      <rgbColor rgb="FF333399"/>
      <rgbColor rgb="FF111F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Kosten per post (excl. btw)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Vergelijking!C21</c:f>
              <c:strCache>
                <c:ptCount val="1"/>
                <c:pt idx="0">
                  <c:v>SWK</c:v>
                </c:pt>
              </c:strCache>
            </c:strRef>
          </c:tx>
          <c:spPr>
            <a:solidFill>
              <a:srgbClr val="003b5c"/>
            </a:solidFill>
            <a:ln w="0">
              <a:solidFill>
                <a:srgbClr val="003b5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Vergelijking!$B$22:$B$24</c:f>
              <c:strCache>
                <c:ptCount val="3"/>
                <c:pt idx="0">
                  <c:v>Provisie / premie</c:v>
                </c:pt>
                <c:pt idx="1">
                  <c:v>Opslagen</c:v>
                </c:pt>
                <c:pt idx="2">
                  <c:v>Overige / bijkomende kosten</c:v>
                </c:pt>
              </c:strCache>
            </c:strRef>
          </c:cat>
          <c:val>
            <c:numRef>
              <c:f>Vergelijking!$C$22:$C$24</c:f>
              <c:numCache>
                <c:formatCode>"€ "#,##0;[RED]"(€ "#,##0\);\-</c:formatCode>
                <c:ptCount val="3"/>
                <c:pt idx="0">
                  <c:v>721.44072</c:v>
                </c:pt>
                <c:pt idx="1">
                  <c:v>0</c:v>
                </c:pt>
                <c:pt idx="2">
                  <c:v>750</c:v>
                </c:pt>
              </c:numCache>
            </c:numRef>
          </c:val>
        </c:ser>
        <c:ser>
          <c:idx val="1"/>
          <c:order val="1"/>
          <c:tx>
            <c:strRef>
              <c:f>Vergelijking!D21</c:f>
              <c:strCache>
                <c:ptCount val="1"/>
                <c:pt idx="0">
                  <c:v>Woningborg</c:v>
                </c:pt>
              </c:strCache>
            </c:strRef>
          </c:tx>
          <c:spPr>
            <a:solidFill>
              <a:srgbClr val="c98a00"/>
            </a:solidFill>
            <a:ln w="0">
              <a:solidFill>
                <a:srgbClr val="c98a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Vergelijking!$B$22:$B$24</c:f>
              <c:strCache>
                <c:ptCount val="3"/>
                <c:pt idx="0">
                  <c:v>Provisie / premie</c:v>
                </c:pt>
                <c:pt idx="1">
                  <c:v>Opslagen</c:v>
                </c:pt>
                <c:pt idx="2">
                  <c:v>Overige / bijkomende kosten</c:v>
                </c:pt>
              </c:strCache>
            </c:strRef>
          </c:cat>
          <c:val>
            <c:numRef>
              <c:f>Vergelijking!$D$22:$D$24</c:f>
              <c:numCache>
                <c:formatCode>"€ "#,##0;[RED]"(€ "#,##0\);\-</c:formatCode>
                <c:ptCount val="3"/>
                <c:pt idx="0">
                  <c:v>1373.35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89272089"/>
        <c:axId val="59208267"/>
      </c:barChart>
      <c:catAx>
        <c:axId val="8927208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208267"/>
        <c:crosses val="autoZero"/>
        <c:auto val="1"/>
        <c:lblAlgn val="ctr"/>
        <c:lblOffset val="100"/>
        <c:noMultiLvlLbl val="0"/>
      </c:catAx>
      <c:valAx>
        <c:axId val="59208267"/>
        <c:scaling>
          <c:orientation val="minMax"/>
        </c:scaling>
        <c:delete val="0"/>
        <c:axPos val="l"/>
        <c:numFmt formatCode="&quot;€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2720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40</xdr:row>
      <xdr:rowOff>0</xdr:rowOff>
    </xdr:from>
    <xdr:to>
      <xdr:col>6</xdr:col>
      <xdr:colOff>1943640</xdr:colOff>
      <xdr:row>53</xdr:row>
      <xdr:rowOff>43200</xdr:rowOff>
    </xdr:to>
    <xdr:graphicFrame>
      <xdr:nvGraphicFramePr>
        <xdr:cNvPr id="0" name="Chart 1"/>
        <xdr:cNvGraphicFramePr/>
      </xdr:nvGraphicFramePr>
      <xdr:xfrm>
        <a:off x="141120" y="9725040"/>
        <a:ext cx="86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B900"/>
    <pageSetUpPr fitToPage="true"/>
  </sheetPr>
  <dimension ref="B1:H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4" min="3" style="0" width="16"/>
    <col collapsed="false" customWidth="true" hidden="false" outlineLevel="0" max="5" min="5" style="0" width="20"/>
    <col collapsed="false" customWidth="true" hidden="false" outlineLevel="0" max="6" min="6" style="0" width="3"/>
    <col collapsed="false" customWidth="true" hidden="false" outlineLevel="0" max="7" min="7" style="0" width="36"/>
    <col collapsed="false" customWidth="true" hidden="false" outlineLevel="0" max="8" min="8" style="0" width="42"/>
  </cols>
  <sheetData>
    <row r="1" customFormat="false" ht="25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B2" s="2" t="s">
        <v>1</v>
      </c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B3" s="3" t="s">
        <v>2</v>
      </c>
      <c r="C3" s="3"/>
      <c r="D3" s="3"/>
      <c r="E3" s="3"/>
      <c r="F3" s="3"/>
      <c r="G3" s="3"/>
      <c r="H3" s="3"/>
    </row>
    <row r="4" customFormat="false" ht="18.75" hidden="false" customHeight="true" outlineLevel="0" collapsed="false">
      <c r="B4" s="4"/>
      <c r="C4" s="4"/>
      <c r="D4" s="4"/>
      <c r="E4" s="4"/>
      <c r="F4" s="4"/>
      <c r="G4" s="4"/>
      <c r="H4" s="4"/>
    </row>
    <row r="5" customFormat="false" ht="18.75" hidden="false" customHeight="true" outlineLevel="0" collapsed="false">
      <c r="B5" s="5" t="s">
        <v>3</v>
      </c>
      <c r="C5" s="6" t="s">
        <v>4</v>
      </c>
      <c r="D5" s="6"/>
      <c r="E5" s="7" t="s">
        <v>5</v>
      </c>
      <c r="F5" s="7"/>
      <c r="G5" s="7" t="s">
        <v>6</v>
      </c>
      <c r="H5" s="7"/>
    </row>
    <row r="6" customFormat="false" ht="18.75" hidden="false" customHeight="true" outlineLevel="0" collapsed="false">
      <c r="B6" s="8" t="n">
        <f aca="false">SWK_Excl</f>
        <v>1471.44072</v>
      </c>
      <c r="C6" s="9" t="n">
        <f aca="false">WB_Excl</f>
        <v>1373.35</v>
      </c>
      <c r="D6" s="9"/>
      <c r="E6" s="10" t="n">
        <f aca="false">ABS(WB_Excl-SWK_Excl)</f>
        <v>98.0907200000002</v>
      </c>
      <c r="F6" s="10"/>
      <c r="G6" s="11" t="str">
        <f aca="false">IF(SWK_Excl=WB_Excl,"Gelijk",IF(SWK_Excl&lt;WB_Excl,"SWK","Woningborg"))</f>
        <v>Woningborg</v>
      </c>
      <c r="H6" s="11"/>
    </row>
    <row r="7" customFormat="false" ht="18.75" hidden="false" customHeight="true" outlineLevel="0" collapsed="false">
      <c r="B7" s="8"/>
      <c r="C7" s="9"/>
      <c r="D7" s="9"/>
      <c r="E7" s="10"/>
      <c r="F7" s="10"/>
      <c r="G7" s="11"/>
      <c r="H7" s="11"/>
    </row>
    <row r="8" customFormat="false" ht="18.75" hidden="false" customHeight="true" outlineLevel="0" collapsed="false">
      <c r="B8" s="4"/>
      <c r="C8" s="4"/>
      <c r="D8" s="4"/>
      <c r="E8" s="12" t="str">
        <f aca="false">IF(MAX(SWK_Excl,WB_Excl)=0,"",TEXT(ABS(WB_Excl-SWK_Excl)/MAX(SWK_Excl,WB_Excl),"0.0%")&amp;" goedkoper")</f>
        <v>6.7% goedkoper</v>
      </c>
      <c r="F8" s="4"/>
      <c r="G8" s="4"/>
      <c r="H8" s="4"/>
    </row>
    <row r="9" customFormat="false" ht="18.75" hidden="false" customHeight="true" outlineLevel="0" collapsed="false">
      <c r="B9" s="4"/>
      <c r="C9" s="4"/>
      <c r="D9" s="4"/>
      <c r="E9" s="4"/>
      <c r="F9" s="4"/>
      <c r="G9" s="4"/>
      <c r="H9" s="4"/>
    </row>
    <row r="10" customFormat="false" ht="19.5" hidden="false" customHeight="true" outlineLevel="0" collapsed="false">
      <c r="B10" s="13" t="s">
        <v>7</v>
      </c>
      <c r="C10" s="13"/>
      <c r="D10" s="13"/>
      <c r="E10" s="4"/>
      <c r="F10" s="4"/>
      <c r="G10" s="13" t="s">
        <v>8</v>
      </c>
      <c r="H10" s="13"/>
    </row>
    <row r="11" customFormat="false" ht="18.75" hidden="false" customHeight="true" outlineLevel="0" collapsed="false">
      <c r="B11" s="14" t="s">
        <v>9</v>
      </c>
      <c r="C11" s="15" t="s">
        <v>10</v>
      </c>
      <c r="D11" s="15"/>
      <c r="E11" s="4"/>
      <c r="F11" s="4"/>
      <c r="G11" s="16" t="s">
        <v>11</v>
      </c>
      <c r="H11" s="4"/>
    </row>
    <row r="12" customFormat="false" ht="18.75" hidden="false" customHeight="true" outlineLevel="0" collapsed="false">
      <c r="B12" s="14" t="s">
        <v>12</v>
      </c>
      <c r="C12" s="4"/>
      <c r="D12" s="17" t="n">
        <v>1</v>
      </c>
      <c r="E12" s="4"/>
      <c r="F12" s="4"/>
      <c r="G12" s="14" t="s">
        <v>13</v>
      </c>
      <c r="H12" s="18" t="s">
        <v>14</v>
      </c>
    </row>
    <row r="13" customFormat="false" ht="18.75" hidden="false" customHeight="true" outlineLevel="0" collapsed="false">
      <c r="B13" s="14" t="s">
        <v>15</v>
      </c>
      <c r="C13" s="4"/>
      <c r="D13" s="19" t="n">
        <v>420000</v>
      </c>
      <c r="E13" s="4"/>
      <c r="F13" s="4"/>
      <c r="G13" s="14" t="s">
        <v>16</v>
      </c>
      <c r="H13" s="18" t="s">
        <v>14</v>
      </c>
    </row>
    <row r="14" customFormat="false" ht="18.75" hidden="false" customHeight="true" outlineLevel="0" collapsed="false">
      <c r="B14" s="14" t="s">
        <v>17</v>
      </c>
      <c r="C14" s="4"/>
      <c r="D14" s="19" t="n">
        <v>80000</v>
      </c>
      <c r="E14" s="4"/>
      <c r="F14" s="4"/>
      <c r="G14" s="14" t="s">
        <v>18</v>
      </c>
      <c r="H14" s="20" t="str">
        <f aca="false">IF(Bouwlagen&gt;13,"ja","nee")</f>
        <v>nee</v>
      </c>
    </row>
    <row r="15" customFormat="false" ht="18.75" hidden="false" customHeight="true" outlineLevel="0" collapsed="false">
      <c r="B15" s="14" t="str">
        <f aca="false">"Btw op koop-/aanneemsom ("&amp;TEXT(C15,"0%")&amp;")"</f>
        <v>Btw op koop-/aanneemsom (21%)</v>
      </c>
      <c r="C15" s="21" t="n">
        <v>0.21</v>
      </c>
      <c r="D15" s="22" t="n">
        <f aca="false">(D13+D14)*C15</f>
        <v>105000</v>
      </c>
      <c r="E15" s="4"/>
      <c r="F15" s="4"/>
      <c r="G15" s="23" t="s">
        <v>19</v>
      </c>
      <c r="H15" s="4"/>
    </row>
    <row r="16" customFormat="false" ht="18.75" hidden="false" customHeight="true" outlineLevel="0" collapsed="false">
      <c r="B16" s="24" t="s">
        <v>20</v>
      </c>
      <c r="C16" s="4"/>
      <c r="D16" s="25" t="n">
        <f aca="false">D13*(1+C15)</f>
        <v>508200</v>
      </c>
      <c r="E16" s="4"/>
      <c r="F16" s="4"/>
      <c r="G16" s="14" t="s">
        <v>21</v>
      </c>
      <c r="H16" s="15" t="s">
        <v>22</v>
      </c>
    </row>
    <row r="17" customFormat="false" ht="18.75" hidden="false" customHeight="true" outlineLevel="0" collapsed="false">
      <c r="B17" s="24" t="s">
        <v>23</v>
      </c>
      <c r="C17" s="4"/>
      <c r="D17" s="25" t="n">
        <f aca="false">(D13+D14)*(1+C15)</f>
        <v>605000</v>
      </c>
      <c r="E17" s="4"/>
      <c r="F17" s="4"/>
      <c r="G17" s="14" t="s">
        <v>24</v>
      </c>
      <c r="H17" s="20" t="str">
        <f aca="false">IF(Bouwlagen&gt;=13,"ja","nee")</f>
        <v>nee</v>
      </c>
    </row>
    <row r="18" customFormat="false" ht="18.75" hidden="false" customHeight="true" outlineLevel="0" collapsed="false">
      <c r="B18" s="14" t="s">
        <v>25</v>
      </c>
      <c r="C18" s="4"/>
      <c r="D18" s="17" t="n">
        <v>4</v>
      </c>
      <c r="E18" s="4"/>
      <c r="F18" s="4"/>
      <c r="G18" s="14" t="s">
        <v>26</v>
      </c>
      <c r="H18" s="20" t="str">
        <f aca="false">WB_GrondslagSoort</f>
        <v>Koop- en aanneemsom incl. btw</v>
      </c>
    </row>
    <row r="19" customFormat="false" ht="18.75" hidden="false" customHeight="true" outlineLevel="0" collapsed="false">
      <c r="B19" s="4"/>
      <c r="C19" s="4"/>
      <c r="D19" s="4"/>
      <c r="E19" s="4"/>
      <c r="F19" s="4"/>
      <c r="G19" s="4"/>
      <c r="H19" s="4"/>
    </row>
    <row r="20" customFormat="false" ht="19.5" hidden="false" customHeight="true" outlineLevel="0" collapsed="false">
      <c r="B20" s="13" t="s">
        <v>27</v>
      </c>
      <c r="C20" s="13"/>
      <c r="D20" s="13"/>
      <c r="E20" s="13"/>
      <c r="F20" s="13"/>
      <c r="G20" s="13"/>
      <c r="H20" s="13"/>
    </row>
    <row r="21" customFormat="false" ht="18.75" hidden="false" customHeight="true" outlineLevel="0" collapsed="false">
      <c r="B21" s="26" t="s">
        <v>28</v>
      </c>
      <c r="C21" s="27" t="s">
        <v>11</v>
      </c>
      <c r="D21" s="28" t="s">
        <v>19</v>
      </c>
      <c r="E21" s="29" t="s">
        <v>29</v>
      </c>
      <c r="F21" s="29"/>
      <c r="G21" s="30" t="s">
        <v>30</v>
      </c>
      <c r="H21" s="26" t="s">
        <v>31</v>
      </c>
    </row>
    <row r="22" customFormat="false" ht="18.75" hidden="false" customHeight="true" outlineLevel="0" collapsed="false">
      <c r="B22" s="14" t="s">
        <v>32</v>
      </c>
      <c r="C22" s="31" t="n">
        <f aca="false">SWK_Premie</f>
        <v>721.44072</v>
      </c>
      <c r="D22" s="31" t="n">
        <f aca="false">WB_Premie</f>
        <v>1373.35</v>
      </c>
      <c r="E22" s="32" t="n">
        <f aca="false">D22-C22</f>
        <v>651.90928</v>
      </c>
      <c r="F22" s="4"/>
      <c r="G22" s="33" t="str">
        <f aca="false">IF(C22=D22,"–",IF(C22&lt;D22,"SWK","Woningborg"))</f>
        <v>SWK</v>
      </c>
      <c r="H22" s="34" t="s">
        <v>33</v>
      </c>
    </row>
    <row r="23" customFormat="false" ht="18.75" hidden="false" customHeight="true" outlineLevel="0" collapsed="false">
      <c r="B23" s="14" t="s">
        <v>34</v>
      </c>
      <c r="C23" s="31" t="n">
        <f aca="false">SWK_Opslag</f>
        <v>0</v>
      </c>
      <c r="D23" s="31" t="n">
        <f aca="false">WB_Opslag</f>
        <v>0</v>
      </c>
      <c r="E23" s="32" t="n">
        <f aca="false">D23-C23</f>
        <v>0</v>
      </c>
      <c r="F23" s="4"/>
      <c r="G23" s="33" t="str">
        <f aca="false">IF(C23=D23,"–",IF(C23&lt;D23,"SWK","Woningborg"))</f>
        <v>–</v>
      </c>
      <c r="H23" s="34" t="s">
        <v>35</v>
      </c>
    </row>
    <row r="24" customFormat="false" ht="18.75" hidden="false" customHeight="true" outlineLevel="0" collapsed="false">
      <c r="B24" s="14" t="s">
        <v>36</v>
      </c>
      <c r="C24" s="31" t="n">
        <f aca="false">SWK_Overig</f>
        <v>750</v>
      </c>
      <c r="D24" s="31" t="n">
        <f aca="false">WB_Overig</f>
        <v>0</v>
      </c>
      <c r="E24" s="32" t="n">
        <f aca="false">D24-C24</f>
        <v>-750</v>
      </c>
      <c r="F24" s="4"/>
      <c r="G24" s="33" t="str">
        <f aca="false">IF(C24=D24,"–",IF(C24&lt;D24,"SWK","Woningborg"))</f>
        <v>Woningborg</v>
      </c>
      <c r="H24" s="34" t="s">
        <v>37</v>
      </c>
    </row>
    <row r="25" customFormat="false" ht="18.75" hidden="false" customHeight="true" outlineLevel="0" collapsed="false">
      <c r="B25" s="4"/>
      <c r="C25" s="4"/>
      <c r="D25" s="4"/>
      <c r="E25" s="4"/>
      <c r="F25" s="4"/>
      <c r="G25" s="4"/>
      <c r="H25" s="4"/>
    </row>
    <row r="26" customFormat="false" ht="24" hidden="false" customHeight="true" outlineLevel="0" collapsed="false">
      <c r="B26" s="35" t="s">
        <v>38</v>
      </c>
      <c r="C26" s="36" t="n">
        <f aca="false">SUM(C22:C24)</f>
        <v>1471.44072</v>
      </c>
      <c r="D26" s="36" t="n">
        <f aca="false">SUM(D22:D24)</f>
        <v>1373.35</v>
      </c>
      <c r="E26" s="36" t="n">
        <f aca="false">D26-C26</f>
        <v>-98.0907200000002</v>
      </c>
      <c r="F26" s="37"/>
      <c r="G26" s="38" t="str">
        <f aca="false">IF(C26=D26,"–",IF(C26&lt;D26,"SWK","Woningborg"))</f>
        <v>Woningborg</v>
      </c>
      <c r="H26" s="39" t="s">
        <v>39</v>
      </c>
    </row>
    <row r="27" customFormat="false" ht="18.75" hidden="false" customHeight="true" outlineLevel="0" collapsed="false">
      <c r="B27" s="40" t="s">
        <v>40</v>
      </c>
      <c r="C27" s="22" t="n">
        <f aca="false">SWK_Btw</f>
        <v>0</v>
      </c>
      <c r="D27" s="22" t="n">
        <f aca="false">WB_Btw</f>
        <v>288.4035</v>
      </c>
      <c r="E27" s="32" t="n">
        <f aca="false">D27-C27</f>
        <v>288.4035</v>
      </c>
      <c r="F27" s="4"/>
      <c r="G27" s="4"/>
      <c r="H27" s="34" t="s">
        <v>41</v>
      </c>
    </row>
    <row r="28" customFormat="false" ht="18.75" hidden="false" customHeight="true" outlineLevel="0" collapsed="false">
      <c r="B28" s="24" t="s">
        <v>42</v>
      </c>
      <c r="C28" s="25" t="n">
        <f aca="false">SWK_Incl</f>
        <v>1471.44072</v>
      </c>
      <c r="D28" s="25" t="n">
        <f aca="false">WB_Incl</f>
        <v>1661.7535</v>
      </c>
      <c r="E28" s="41" t="n">
        <f aca="false">D28-C28</f>
        <v>190.31278</v>
      </c>
      <c r="F28" s="4"/>
      <c r="G28" s="42" t="str">
        <f aca="false">IF(C28=D28,"–",IF(C28&lt;D28,"SWK","Woningborg"))</f>
        <v>SWK</v>
      </c>
      <c r="H28" s="34"/>
    </row>
    <row r="29" customFormat="false" ht="18.75" hidden="false" customHeight="true" outlineLevel="0" collapsed="false">
      <c r="B29" s="40" t="s">
        <v>43</v>
      </c>
      <c r="C29" s="22" t="n">
        <f aca="false">IFERROR(C26/AantalWoningen,0)</f>
        <v>1471.44072</v>
      </c>
      <c r="D29" s="22" t="n">
        <f aca="false">IFERROR(D26/AantalWoningen,0)</f>
        <v>1373.35</v>
      </c>
      <c r="E29" s="32" t="n">
        <f aca="false">D29-C29</f>
        <v>-98.0907200000002</v>
      </c>
      <c r="F29" s="4"/>
      <c r="G29" s="4"/>
      <c r="H29" s="34"/>
    </row>
    <row r="30" customFormat="false" ht="18.75" hidden="false" customHeight="true" outlineLevel="0" collapsed="false">
      <c r="B30" s="40" t="s">
        <v>44</v>
      </c>
      <c r="C30" s="43" t="n">
        <f aca="false">IFERROR(C26/AanneemsomIncl,0)</f>
        <v>0.00289539693034239</v>
      </c>
      <c r="D30" s="43" t="n">
        <f aca="false">IFERROR(D26/AanneemsomIncl,0)</f>
        <v>0.00270238095238095</v>
      </c>
      <c r="E30" s="44" t="n">
        <f aca="false">D30-C30</f>
        <v>-0.000193015977961433</v>
      </c>
      <c r="F30" s="4"/>
      <c r="G30" s="4"/>
      <c r="H30" s="34" t="s">
        <v>45</v>
      </c>
    </row>
    <row r="31" customFormat="false" ht="18.75" hidden="false" customHeight="true" outlineLevel="0" collapsed="false">
      <c r="B31" s="34" t="s">
        <v>46</v>
      </c>
      <c r="C31" s="4"/>
      <c r="D31" s="4"/>
      <c r="E31" s="4"/>
      <c r="F31" s="4"/>
      <c r="G31" s="4"/>
      <c r="H31" s="4"/>
    </row>
    <row r="32" customFormat="false" ht="18.75" hidden="false" customHeight="true" outlineLevel="0" collapsed="false">
      <c r="B32" s="4"/>
      <c r="C32" s="4"/>
      <c r="D32" s="4"/>
      <c r="E32" s="4"/>
      <c r="F32" s="4"/>
      <c r="G32" s="4"/>
      <c r="H32" s="4"/>
    </row>
    <row r="33" customFormat="false" ht="19.5" hidden="false" customHeight="true" outlineLevel="0" collapsed="false">
      <c r="B33" s="13" t="s">
        <v>47</v>
      </c>
      <c r="C33" s="13"/>
      <c r="D33" s="13"/>
      <c r="E33" s="4"/>
      <c r="F33" s="4"/>
      <c r="G33" s="13" t="s">
        <v>48</v>
      </c>
      <c r="H33" s="13"/>
    </row>
    <row r="34" customFormat="false" ht="18.75" hidden="false" customHeight="true" outlineLevel="0" collapsed="false">
      <c r="B34" s="45" t="s">
        <v>49</v>
      </c>
      <c r="C34" s="46"/>
      <c r="D34" s="47" t="str">
        <f aca="false">IF(AND(D13&gt;0,D12&gt;0,D18&gt;0),"OK","AANVULLEN")</f>
        <v>OK</v>
      </c>
      <c r="E34" s="4"/>
      <c r="F34" s="4"/>
      <c r="G34" s="48" t="s">
        <v>50</v>
      </c>
      <c r="H34" s="48"/>
    </row>
    <row r="35" customFormat="false" ht="18.75" hidden="false" customHeight="true" outlineLevel="0" collapsed="false">
      <c r="B35" s="45" t="s">
        <v>51</v>
      </c>
      <c r="C35" s="46"/>
      <c r="D35" s="47" t="str">
        <f aca="false">IF(AND(OR(H12="ja",H12="nee"),OR(H13="ja",H13="nee"),ISNUMBER(MATCH(H16,'Tarieven Woningborg'!$B$12:$B$19,0))),"OK","CONTROLEREN")</f>
        <v>OK</v>
      </c>
      <c r="E35" s="4"/>
      <c r="F35" s="4"/>
      <c r="G35" s="48" t="s">
        <v>52</v>
      </c>
      <c r="H35" s="48"/>
    </row>
    <row r="36" customFormat="false" ht="18.75" hidden="false" customHeight="true" outlineLevel="0" collapsed="false">
      <c r="B36" s="45" t="s">
        <v>53</v>
      </c>
      <c r="C36" s="46"/>
      <c r="D36" s="47" t="str">
        <f aca="false">'Tarieven SWK'!H5</f>
        <v>OK</v>
      </c>
      <c r="E36" s="4"/>
      <c r="F36" s="4"/>
      <c r="G36" s="48" t="s">
        <v>54</v>
      </c>
      <c r="H36" s="48"/>
    </row>
    <row r="37" customFormat="false" ht="18.75" hidden="false" customHeight="true" outlineLevel="0" collapsed="false">
      <c r="B37" s="45" t="s">
        <v>55</v>
      </c>
      <c r="C37" s="46"/>
      <c r="D37" s="47" t="str">
        <f aca="false">'Tarieven Woningborg'!H5</f>
        <v>OK</v>
      </c>
      <c r="E37" s="4"/>
      <c r="F37" s="4"/>
      <c r="G37" s="48" t="s">
        <v>56</v>
      </c>
      <c r="H37" s="48"/>
    </row>
    <row r="38" customFormat="false" ht="18.75" hidden="false" customHeight="true" outlineLevel="0" collapsed="false">
      <c r="B38" s="45" t="s">
        <v>57</v>
      </c>
      <c r="C38" s="46"/>
      <c r="D38" s="47" t="str">
        <f aca="false">IF(AND(WB_GrondslagSoort="Koop- en aanneemsom incl. btw",D14&lt;=0),"CONTROLEREN","OK")</f>
        <v>OK</v>
      </c>
      <c r="E38" s="4"/>
      <c r="F38" s="4"/>
      <c r="G38" s="48" t="s">
        <v>58</v>
      </c>
      <c r="H38" s="48"/>
    </row>
  </sheetData>
  <mergeCells count="21">
    <mergeCell ref="B1:H1"/>
    <mergeCell ref="B2:H2"/>
    <mergeCell ref="B3:H3"/>
    <mergeCell ref="C5:D5"/>
    <mergeCell ref="E5:F5"/>
    <mergeCell ref="G5:H5"/>
    <mergeCell ref="B6:B7"/>
    <mergeCell ref="C6:D7"/>
    <mergeCell ref="E6:F7"/>
    <mergeCell ref="G6:H7"/>
    <mergeCell ref="B10:D10"/>
    <mergeCell ref="G10:H10"/>
    <mergeCell ref="C11:D11"/>
    <mergeCell ref="B20:H20"/>
    <mergeCell ref="B33:D33"/>
    <mergeCell ref="G33:H33"/>
    <mergeCell ref="G34:H34"/>
    <mergeCell ref="G35:H35"/>
    <mergeCell ref="G36:H36"/>
    <mergeCell ref="G37:H37"/>
    <mergeCell ref="G38:H38"/>
  </mergeCells>
  <conditionalFormatting sqref="G6">
    <cfRule type="expression" priority="2" aboveAverage="0" equalAverage="0" bottom="0" percent="0" rank="0" text="" dxfId="0">
      <formula>G6="SWK"</formula>
    </cfRule>
    <cfRule type="expression" priority="3" aboveAverage="0" equalAverage="0" bottom="0" percent="0" rank="0" text="" dxfId="1">
      <formula>G6="Woningborg"</formula>
    </cfRule>
  </conditionalFormatting>
  <conditionalFormatting sqref="G22:G28">
    <cfRule type="expression" priority="4" aboveAverage="0" equalAverage="0" bottom="0" percent="0" rank="0" text="" dxfId="2">
      <formula>G22="SWK"</formula>
    </cfRule>
    <cfRule type="expression" priority="5" aboveAverage="0" equalAverage="0" bottom="0" percent="0" rank="0" text="" dxfId="3">
      <formula>G22="Woningborg"</formula>
    </cfRule>
  </conditionalFormatting>
  <conditionalFormatting sqref="E22:E30">
    <cfRule type="expression" priority="6" aboveAverage="0" equalAverage="0" bottom="0" percent="0" rank="0" text="" dxfId="4">
      <formula>E22&lt;0</formula>
    </cfRule>
  </conditionalFormatting>
  <conditionalFormatting sqref="D34:D38">
    <cfRule type="expression" priority="7" aboveAverage="0" equalAverage="0" bottom="0" percent="0" rank="0" text="" dxfId="5">
      <formula>D34="OK"</formula>
    </cfRule>
    <cfRule type="expression" priority="8" aboveAverage="0" equalAverage="0" bottom="0" percent="0" rank="0" text="" dxfId="6">
      <formula>D34&lt;&gt;"OK"</formula>
    </cfRule>
  </conditionalFormatting>
  <dataValidations count="2">
    <dataValidation allowBlank="false" errorStyle="stop" operator="between" showDropDown="false" showErrorMessage="false" showInputMessage="false" sqref="H12:H13" type="list">
      <formula1>"ja,nee"</formula1>
      <formula2>0</formula2>
    </dataValidation>
    <dataValidation allowBlank="false" errorStyle="stop" operator="between" showDropDown="false" showErrorMessage="false" showInputMessage="false" sqref="H16" type="list">
      <formula1>'Tarieven Woningborg'!$B$12:$B$19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&amp;C&amp;"Arial,Regular"Heijmans Vastgoed | Vergelijking SWK – Woningborg&amp;R&amp;"Arial,Regular"Pagina &amp;P van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B5C"/>
    <pageSetUpPr fitToPage="true"/>
  </sheetPr>
  <dimension ref="B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8" min="7" style="0" width="15"/>
    <col collapsed="false" customWidth="true" hidden="false" outlineLevel="0" max="9" min="9" style="0" width="48"/>
  </cols>
  <sheetData>
    <row r="1" customFormat="false" ht="25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</row>
    <row r="2" customFormat="false" ht="31.5" hidden="false" customHeight="true" outlineLevel="0" collapsed="false">
      <c r="B2" s="2" t="s">
        <v>59</v>
      </c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B3" s="3" t="s">
        <v>60</v>
      </c>
      <c r="C3" s="3"/>
      <c r="D3" s="3"/>
      <c r="E3" s="3"/>
      <c r="F3" s="3"/>
      <c r="G3" s="3"/>
      <c r="H3" s="3"/>
      <c r="I3" s="3"/>
    </row>
    <row r="4" customFormat="false" ht="18.75" hidden="false" customHeight="true" outlineLevel="0" collapsed="false">
      <c r="B4" s="4"/>
      <c r="C4" s="4"/>
      <c r="D4" s="4"/>
      <c r="E4" s="4"/>
      <c r="F4" s="4"/>
      <c r="G4" s="4"/>
      <c r="H4" s="4"/>
      <c r="I4" s="4"/>
    </row>
    <row r="5" customFormat="false" ht="18.75" hidden="false" customHeight="true" outlineLevel="0" collapsed="false">
      <c r="B5" s="4" t="s">
        <v>61</v>
      </c>
      <c r="C5" s="15" t="s">
        <v>62</v>
      </c>
      <c r="D5" s="15"/>
      <c r="E5" s="15"/>
      <c r="F5" s="15"/>
      <c r="G5" s="49" t="s">
        <v>63</v>
      </c>
      <c r="H5" s="50" t="str">
        <f aca="false">IF(I5="ja","OK","CONTROLEREN")</f>
        <v>OK</v>
      </c>
      <c r="I5" s="18" t="s">
        <v>64</v>
      </c>
    </row>
    <row r="6" customFormat="false" ht="18.75" hidden="false" customHeight="true" outlineLevel="0" collapsed="false">
      <c r="B6" s="4" t="s">
        <v>40</v>
      </c>
      <c r="C6" s="21" t="n">
        <v>0</v>
      </c>
      <c r="D6" s="34" t="s">
        <v>65</v>
      </c>
      <c r="E6" s="4"/>
      <c r="F6" s="4"/>
      <c r="G6" s="4"/>
      <c r="H6" s="4"/>
      <c r="I6" s="4"/>
    </row>
    <row r="7" customFormat="false" ht="18.75" hidden="false" customHeight="true" outlineLevel="0" collapsed="false">
      <c r="B7" s="4"/>
      <c r="C7" s="4"/>
      <c r="D7" s="4"/>
      <c r="E7" s="4"/>
      <c r="F7" s="4"/>
      <c r="G7" s="4"/>
      <c r="H7" s="4"/>
      <c r="I7" s="4"/>
    </row>
    <row r="8" customFormat="false" ht="18.75" hidden="false" customHeight="true" outlineLevel="0" collapsed="false">
      <c r="B8" s="4"/>
      <c r="C8" s="4"/>
      <c r="D8" s="4"/>
      <c r="E8" s="4"/>
      <c r="F8" s="4"/>
      <c r="G8" s="4"/>
      <c r="H8" s="4"/>
      <c r="I8" s="4"/>
    </row>
    <row r="9" customFormat="false" ht="19.5" hidden="false" customHeight="true" outlineLevel="0" collapsed="false">
      <c r="B9" s="13" t="s">
        <v>66</v>
      </c>
      <c r="C9" s="13"/>
      <c r="D9" s="13"/>
      <c r="E9" s="13"/>
      <c r="F9" s="13"/>
      <c r="G9" s="13"/>
      <c r="H9" s="13"/>
      <c r="I9" s="13"/>
    </row>
    <row r="10" customFormat="false" ht="18.75" hidden="false" customHeight="true" outlineLevel="0" collapsed="false">
      <c r="B10" s="26" t="s">
        <v>28</v>
      </c>
      <c r="C10" s="29" t="s">
        <v>67</v>
      </c>
      <c r="D10" s="29" t="s">
        <v>68</v>
      </c>
      <c r="E10" s="29"/>
      <c r="F10" s="29" t="s">
        <v>69</v>
      </c>
      <c r="G10" s="29" t="s">
        <v>70</v>
      </c>
      <c r="H10" s="29"/>
      <c r="I10" s="26" t="s">
        <v>31</v>
      </c>
    </row>
    <row r="11" customFormat="false" ht="18.75" hidden="false" customHeight="true" outlineLevel="0" collapsed="false">
      <c r="B11" s="51" t="s">
        <v>71</v>
      </c>
      <c r="C11" s="4"/>
      <c r="D11" s="4"/>
      <c r="E11" s="4"/>
      <c r="F11" s="4"/>
      <c r="G11" s="4"/>
      <c r="H11" s="4"/>
      <c r="I11" s="4"/>
    </row>
    <row r="12" customFormat="false" ht="18.75" hidden="false" customHeight="true" outlineLevel="0" collapsed="false">
      <c r="B12" s="14" t="s">
        <v>72</v>
      </c>
      <c r="C12" s="52" t="n">
        <v>0.005198</v>
      </c>
      <c r="D12" s="53" t="n">
        <v>0.2</v>
      </c>
      <c r="E12" s="4"/>
      <c r="F12" s="54" t="n">
        <f aca="false">AanneemsomIncl*D12</f>
        <v>101640</v>
      </c>
      <c r="G12" s="22" t="n">
        <f aca="false">F12*C12</f>
        <v>528.32472</v>
      </c>
      <c r="H12" s="4"/>
      <c r="I12" s="34" t="s">
        <v>73</v>
      </c>
    </row>
    <row r="13" customFormat="false" ht="18.75" hidden="false" customHeight="true" outlineLevel="0" collapsed="false">
      <c r="B13" s="14" t="s">
        <v>74</v>
      </c>
      <c r="C13" s="52" t="n">
        <v>0.00038</v>
      </c>
      <c r="D13" s="53" t="n">
        <v>1</v>
      </c>
      <c r="E13" s="4"/>
      <c r="F13" s="54" t="n">
        <f aca="false">AanneemsomIncl*D13</f>
        <v>508200</v>
      </c>
      <c r="G13" s="22" t="n">
        <f aca="false">F13*C13</f>
        <v>193.116</v>
      </c>
      <c r="H13" s="4"/>
      <c r="I13" s="34" t="s">
        <v>75</v>
      </c>
    </row>
    <row r="14" customFormat="false" ht="18.75" hidden="false" customHeight="true" outlineLevel="0" collapsed="false">
      <c r="B14" s="4"/>
      <c r="C14" s="4"/>
      <c r="D14" s="4"/>
      <c r="E14" s="4"/>
      <c r="F14" s="4"/>
      <c r="G14" s="4"/>
      <c r="H14" s="4"/>
      <c r="I14" s="4"/>
    </row>
    <row r="15" customFormat="false" ht="19.5" hidden="false" customHeight="true" outlineLevel="0" collapsed="false">
      <c r="B15" s="13" t="s">
        <v>76</v>
      </c>
      <c r="C15" s="13"/>
      <c r="D15" s="13"/>
      <c r="E15" s="13"/>
      <c r="F15" s="13"/>
      <c r="G15" s="13"/>
      <c r="H15" s="13"/>
      <c r="I15" s="13"/>
    </row>
    <row r="16" customFormat="false" ht="18.75" hidden="false" customHeight="true" outlineLevel="0" collapsed="false">
      <c r="B16" s="26" t="s">
        <v>77</v>
      </c>
      <c r="C16" s="29" t="s">
        <v>67</v>
      </c>
      <c r="D16" s="29" t="s">
        <v>78</v>
      </c>
      <c r="E16" s="29" t="s">
        <v>79</v>
      </c>
      <c r="F16" s="29" t="s">
        <v>69</v>
      </c>
      <c r="G16" s="29" t="s">
        <v>80</v>
      </c>
      <c r="H16" s="29" t="s">
        <v>70</v>
      </c>
      <c r="I16" s="26" t="s">
        <v>31</v>
      </c>
    </row>
    <row r="17" customFormat="false" ht="18.75" hidden="false" customHeight="true" outlineLevel="0" collapsed="false">
      <c r="B17" s="55" t="s">
        <v>81</v>
      </c>
      <c r="C17" s="56" t="n">
        <v>0.303</v>
      </c>
      <c r="D17" s="15" t="s">
        <v>82</v>
      </c>
      <c r="E17" s="15" t="s">
        <v>83</v>
      </c>
      <c r="F17" s="54" t="n">
        <f aca="false">IF(D17="Sectie I",$G$12,IF(D17="Sectie II",$G$13,IF(D17="Aanneemsom incl. btw",AanneemsomIncl,0)))</f>
        <v>193.116</v>
      </c>
      <c r="G17" s="57" t="str">
        <f aca="false">IF(B17="","",IF(IF(E17="Altijd",1,IF(E17="Hoogbouw",--(KeuzeHoogbouw="ja"),IF(E17="Zakelijk",--(KeuzeZakelijk="ja"),IF(E17="Bouwtijd &gt; 3 jaar",--(KeuzeBouwtijd="ja"),0))))=1,"ja","nee"))</f>
        <v>nee</v>
      </c>
      <c r="H17" s="22" t="n">
        <f aca="false">IF(G17="ja",F17*C17,0)</f>
        <v>0</v>
      </c>
      <c r="I17" s="34" t="s">
        <v>84</v>
      </c>
    </row>
    <row r="18" customFormat="false" ht="18.75" hidden="false" customHeight="true" outlineLevel="0" collapsed="false">
      <c r="B18" s="55" t="s">
        <v>85</v>
      </c>
      <c r="C18" s="56" t="n">
        <v>0.1</v>
      </c>
      <c r="D18" s="15" t="s">
        <v>82</v>
      </c>
      <c r="E18" s="15" t="s">
        <v>86</v>
      </c>
      <c r="F18" s="54" t="n">
        <f aca="false">IF(D18="Sectie I",$G$12,IF(D18="Sectie II",$G$13,IF(D18="Aanneemsom incl. btw",AanneemsomIncl,0)))</f>
        <v>193.116</v>
      </c>
      <c r="G18" s="57" t="str">
        <f aca="false">IF(B18="","",IF(IF(E18="Altijd",1,IF(E18="Hoogbouw",--(KeuzeHoogbouw="ja"),IF(E18="Zakelijk",--(KeuzeZakelijk="ja"),IF(E18="Bouwtijd &gt; 3 jaar",--(KeuzeBouwtijd="ja"),0))))=1,"ja","nee"))</f>
        <v>nee</v>
      </c>
      <c r="H18" s="22" t="n">
        <f aca="false">IF(G18="ja",F18*C18,0)</f>
        <v>0</v>
      </c>
      <c r="I18" s="34" t="s">
        <v>87</v>
      </c>
    </row>
    <row r="19" customFormat="false" ht="18.75" hidden="false" customHeight="true" outlineLevel="0" collapsed="false">
      <c r="B19" s="55" t="s">
        <v>88</v>
      </c>
      <c r="C19" s="56" t="n">
        <v>0.1</v>
      </c>
      <c r="D19" s="15" t="s">
        <v>89</v>
      </c>
      <c r="E19" s="15" t="s">
        <v>90</v>
      </c>
      <c r="F19" s="54" t="n">
        <f aca="false">IF(D19="Sectie I",$G$12,IF(D19="Sectie II",$G$13,IF(D19="Aanneemsom incl. btw",AanneemsomIncl,0)))</f>
        <v>528.32472</v>
      </c>
      <c r="G19" s="57" t="str">
        <f aca="false">IF(B19="","",IF(IF(E19="Altijd",1,IF(E19="Hoogbouw",--(KeuzeHoogbouw="ja"),IF(E19="Zakelijk",--(KeuzeZakelijk="ja"),IF(E19="Bouwtijd &gt; 3 jaar",--(KeuzeBouwtijd="ja"),0))))=1,"ja","nee"))</f>
        <v>nee</v>
      </c>
      <c r="H19" s="22" t="n">
        <f aca="false">IF(G19="ja",F19*C19,0)</f>
        <v>0</v>
      </c>
      <c r="I19" s="34" t="s">
        <v>91</v>
      </c>
    </row>
    <row r="20" customFormat="false" ht="18.75" hidden="false" customHeight="true" outlineLevel="0" collapsed="false">
      <c r="B20" s="55"/>
      <c r="C20" s="56"/>
      <c r="D20" s="15"/>
      <c r="E20" s="15"/>
      <c r="F20" s="54" t="n">
        <f aca="false">IF(D20="Sectie I",$G$12,IF(D20="Sectie II",$G$13,IF(D20="Aanneemsom incl. btw",AanneemsomIncl,0)))</f>
        <v>0</v>
      </c>
      <c r="G20" s="57" t="str">
        <f aca="false">IF(B20="","",IF(IF(E20="Altijd",1,IF(E20="Hoogbouw",--(KeuzeHoogbouw="ja"),IF(E20="Zakelijk",--(KeuzeZakelijk="ja"),IF(E20="Bouwtijd &gt; 3 jaar",--(KeuzeBouwtijd="ja"),0))))=1,"ja","nee"))</f>
        <v/>
      </c>
      <c r="H20" s="22" t="n">
        <f aca="false">IF(G20="ja",F20*C20,0)</f>
        <v>0</v>
      </c>
      <c r="I20" s="34"/>
    </row>
    <row r="21" customFormat="false" ht="18.75" hidden="false" customHeight="true" outlineLevel="0" collapsed="false">
      <c r="B21" s="55"/>
      <c r="C21" s="56"/>
      <c r="D21" s="15"/>
      <c r="E21" s="15"/>
      <c r="F21" s="54" t="n">
        <f aca="false">IF(D21="Sectie I",$G$12,IF(D21="Sectie II",$G$13,IF(D21="Aanneemsom incl. btw",AanneemsomIncl,0)))</f>
        <v>0</v>
      </c>
      <c r="G21" s="57" t="str">
        <f aca="false">IF(B21="","",IF(IF(E21="Altijd",1,IF(E21="Hoogbouw",--(KeuzeHoogbouw="ja"),IF(E21="Zakelijk",--(KeuzeZakelijk="ja"),IF(E21="Bouwtijd &gt; 3 jaar",--(KeuzeBouwtijd="ja"),0))))=1,"ja","nee"))</f>
        <v/>
      </c>
      <c r="H21" s="22" t="n">
        <f aca="false">IF(G21="ja",F21*C21,0)</f>
        <v>0</v>
      </c>
      <c r="I21" s="34"/>
    </row>
    <row r="22" customFormat="false" ht="18.75" hidden="false" customHeight="true" outlineLevel="0" collapsed="false">
      <c r="B22" s="55"/>
      <c r="C22" s="56"/>
      <c r="D22" s="15"/>
      <c r="E22" s="15"/>
      <c r="F22" s="54" t="n">
        <f aca="false">IF(D22="Sectie I",$G$12,IF(D22="Sectie II",$G$13,IF(D22="Aanneemsom incl. btw",AanneemsomIncl,0)))</f>
        <v>0</v>
      </c>
      <c r="G22" s="57" t="str">
        <f aca="false">IF(B22="","",IF(IF(E22="Altijd",1,IF(E22="Hoogbouw",--(KeuzeHoogbouw="ja"),IF(E22="Zakelijk",--(KeuzeZakelijk="ja"),IF(E22="Bouwtijd &gt; 3 jaar",--(KeuzeBouwtijd="ja"),0))))=1,"ja","nee"))</f>
        <v/>
      </c>
      <c r="H22" s="22" t="n">
        <f aca="false">IF(G22="ja",F22*C22,0)</f>
        <v>0</v>
      </c>
      <c r="I22" s="34"/>
    </row>
    <row r="23" customFormat="false" ht="18.75" hidden="false" customHeight="true" outlineLevel="0" collapsed="false">
      <c r="B23" s="4"/>
      <c r="C23" s="4"/>
      <c r="D23" s="4"/>
      <c r="E23" s="4"/>
      <c r="F23" s="4"/>
      <c r="G23" s="49" t="s">
        <v>92</v>
      </c>
      <c r="H23" s="25" t="n">
        <f aca="false">SUM(H17:H22)</f>
        <v>0</v>
      </c>
      <c r="I23" s="4"/>
    </row>
    <row r="24" customFormat="false" ht="18.75" hidden="false" customHeight="true" outlineLevel="0" collapsed="false">
      <c r="B24" s="4"/>
      <c r="C24" s="4"/>
      <c r="D24" s="4"/>
      <c r="E24" s="4"/>
      <c r="F24" s="4"/>
      <c r="G24" s="4"/>
      <c r="H24" s="4"/>
      <c r="I24" s="4"/>
    </row>
    <row r="25" customFormat="false" ht="19.5" hidden="false" customHeight="true" outlineLevel="0" collapsed="false">
      <c r="B25" s="13" t="s">
        <v>93</v>
      </c>
      <c r="C25" s="13"/>
      <c r="D25" s="13"/>
      <c r="E25" s="13"/>
      <c r="F25" s="13"/>
      <c r="G25" s="13"/>
      <c r="H25" s="13"/>
      <c r="I25" s="13"/>
    </row>
    <row r="26" customFormat="false" ht="18.75" hidden="false" customHeight="true" outlineLevel="0" collapsed="false">
      <c r="B26" s="26" t="s">
        <v>77</v>
      </c>
      <c r="C26" s="29" t="s">
        <v>94</v>
      </c>
      <c r="D26" s="29" t="s">
        <v>95</v>
      </c>
      <c r="E26" s="29" t="s">
        <v>79</v>
      </c>
      <c r="F26" s="29" t="s">
        <v>96</v>
      </c>
      <c r="G26" s="29" t="s">
        <v>80</v>
      </c>
      <c r="H26" s="29" t="s">
        <v>70</v>
      </c>
      <c r="I26" s="26" t="s">
        <v>31</v>
      </c>
    </row>
    <row r="27" customFormat="false" ht="18.75" hidden="false" customHeight="true" outlineLevel="0" collapsed="false">
      <c r="B27" s="55" t="s">
        <v>97</v>
      </c>
      <c r="C27" s="19" t="n">
        <v>750</v>
      </c>
      <c r="D27" s="15" t="s">
        <v>98</v>
      </c>
      <c r="E27" s="15" t="s">
        <v>99</v>
      </c>
      <c r="F27" s="58" t="n">
        <f aca="false">IF(D27="woning",AantalWoningen,IF(D27="project",1,0))</f>
        <v>1</v>
      </c>
      <c r="G27" s="57" t="str">
        <f aca="false">IF(B27="","",IF(IF(E27="Altijd",1,IF(E27="Hoogbouw",--(KeuzeHoogbouw="ja"),IF(E27="Zakelijk",--(KeuzeZakelijk="ja"),IF(E27="Bouwtijd &gt; 3 jaar",--(KeuzeBouwtijd="ja"),0))))=1,"ja","nee"))</f>
        <v>ja</v>
      </c>
      <c r="H27" s="22" t="n">
        <f aca="false">IF(G27="ja",F27*C27,0)</f>
        <v>750</v>
      </c>
      <c r="I27" s="34" t="s">
        <v>100</v>
      </c>
    </row>
    <row r="28" customFormat="false" ht="18.75" hidden="false" customHeight="true" outlineLevel="0" collapsed="false">
      <c r="B28" s="55"/>
      <c r="C28" s="19"/>
      <c r="D28" s="15"/>
      <c r="E28" s="15"/>
      <c r="F28" s="58" t="n">
        <f aca="false">IF(D28="woning",AantalWoningen,IF(D28="project",1,0))</f>
        <v>0</v>
      </c>
      <c r="G28" s="57" t="str">
        <f aca="false">IF(B28="","",IF(IF(E28="Altijd",1,IF(E28="Hoogbouw",--(KeuzeHoogbouw="ja"),IF(E28="Zakelijk",--(KeuzeZakelijk="ja"),IF(E28="Bouwtijd &gt; 3 jaar",--(KeuzeBouwtijd="ja"),0))))=1,"ja","nee"))</f>
        <v/>
      </c>
      <c r="H28" s="22" t="n">
        <f aca="false">IF(G28="ja",F28*C28,0)</f>
        <v>0</v>
      </c>
      <c r="I28" s="34"/>
    </row>
    <row r="29" customFormat="false" ht="18.75" hidden="false" customHeight="true" outlineLevel="0" collapsed="false">
      <c r="B29" s="55"/>
      <c r="C29" s="19"/>
      <c r="D29" s="15"/>
      <c r="E29" s="15"/>
      <c r="F29" s="58" t="n">
        <f aca="false">IF(D29="woning",AantalWoningen,IF(D29="project",1,0))</f>
        <v>0</v>
      </c>
      <c r="G29" s="57" t="str">
        <f aca="false">IF(B29="","",IF(IF(E29="Altijd",1,IF(E29="Hoogbouw",--(KeuzeHoogbouw="ja"),IF(E29="Zakelijk",--(KeuzeZakelijk="ja"),IF(E29="Bouwtijd &gt; 3 jaar",--(KeuzeBouwtijd="ja"),0))))=1,"ja","nee"))</f>
        <v/>
      </c>
      <c r="H29" s="22" t="n">
        <f aca="false">IF(G29="ja",F29*C29,0)</f>
        <v>0</v>
      </c>
      <c r="I29" s="34"/>
    </row>
    <row r="30" customFormat="false" ht="18.75" hidden="false" customHeight="true" outlineLevel="0" collapsed="false">
      <c r="B30" s="55"/>
      <c r="C30" s="19"/>
      <c r="D30" s="15"/>
      <c r="E30" s="15"/>
      <c r="F30" s="58" t="n">
        <f aca="false">IF(D30="woning",AantalWoningen,IF(D30="project",1,0))</f>
        <v>0</v>
      </c>
      <c r="G30" s="57" t="str">
        <f aca="false">IF(B30="","",IF(IF(E30="Altijd",1,IF(E30="Hoogbouw",--(KeuzeHoogbouw="ja"),IF(E30="Zakelijk",--(KeuzeZakelijk="ja"),IF(E30="Bouwtijd &gt; 3 jaar",--(KeuzeBouwtijd="ja"),0))))=1,"ja","nee"))</f>
        <v/>
      </c>
      <c r="H30" s="22" t="n">
        <f aca="false">IF(G30="ja",F30*C30,0)</f>
        <v>0</v>
      </c>
      <c r="I30" s="34"/>
    </row>
    <row r="31" customFormat="false" ht="18.75" hidden="false" customHeight="true" outlineLevel="0" collapsed="false">
      <c r="B31" s="55"/>
      <c r="C31" s="19"/>
      <c r="D31" s="15"/>
      <c r="E31" s="15"/>
      <c r="F31" s="58" t="n">
        <f aca="false">IF(D31="woning",AantalWoningen,IF(D31="project",1,0))</f>
        <v>0</v>
      </c>
      <c r="G31" s="57" t="str">
        <f aca="false">IF(B31="","",IF(IF(E31="Altijd",1,IF(E31="Hoogbouw",--(KeuzeHoogbouw="ja"),IF(E31="Zakelijk",--(KeuzeZakelijk="ja"),IF(E31="Bouwtijd &gt; 3 jaar",--(KeuzeBouwtijd="ja"),0))))=1,"ja","nee"))</f>
        <v/>
      </c>
      <c r="H31" s="22" t="n">
        <f aca="false">IF(G31="ja",F31*C31,0)</f>
        <v>0</v>
      </c>
      <c r="I31" s="34"/>
    </row>
    <row r="32" customFormat="false" ht="18.75" hidden="false" customHeight="true" outlineLevel="0" collapsed="false">
      <c r="B32" s="55"/>
      <c r="C32" s="19"/>
      <c r="D32" s="15"/>
      <c r="E32" s="15"/>
      <c r="F32" s="58" t="n">
        <f aca="false">IF(D32="woning",AantalWoningen,IF(D32="project",1,0))</f>
        <v>0</v>
      </c>
      <c r="G32" s="57" t="str">
        <f aca="false">IF(B32="","",IF(IF(E32="Altijd",1,IF(E32="Hoogbouw",--(KeuzeHoogbouw="ja"),IF(E32="Zakelijk",--(KeuzeZakelijk="ja"),IF(E32="Bouwtijd &gt; 3 jaar",--(KeuzeBouwtijd="ja"),0))))=1,"ja","nee"))</f>
        <v/>
      </c>
      <c r="H32" s="22" t="n">
        <f aca="false">IF(G32="ja",F32*C32,0)</f>
        <v>0</v>
      </c>
      <c r="I32" s="34"/>
    </row>
    <row r="33" customFormat="false" ht="18.75" hidden="false" customHeight="true" outlineLevel="0" collapsed="false">
      <c r="B33" s="4"/>
      <c r="C33" s="4"/>
      <c r="D33" s="4"/>
      <c r="E33" s="4"/>
      <c r="F33" s="4"/>
      <c r="G33" s="49" t="s">
        <v>92</v>
      </c>
      <c r="H33" s="25" t="n">
        <f aca="false">SUM(H27:H32)</f>
        <v>750</v>
      </c>
      <c r="I33" s="4"/>
    </row>
    <row r="34" customFormat="false" ht="18.75" hidden="false" customHeight="true" outlineLevel="0" collapsed="false">
      <c r="B34" s="4"/>
      <c r="C34" s="4"/>
      <c r="D34" s="4"/>
      <c r="E34" s="4"/>
      <c r="F34" s="4"/>
      <c r="G34" s="4"/>
      <c r="H34" s="4"/>
      <c r="I34" s="4"/>
    </row>
    <row r="35" customFormat="false" ht="24" hidden="false" customHeight="true" outlineLevel="0" collapsed="false">
      <c r="B35" s="35" t="s">
        <v>101</v>
      </c>
      <c r="C35" s="37"/>
      <c r="D35" s="37"/>
      <c r="E35" s="37"/>
      <c r="F35" s="37"/>
      <c r="G35" s="37"/>
      <c r="H35" s="36" t="n">
        <f aca="false">G12+G13+H23+H33</f>
        <v>1471.44072</v>
      </c>
      <c r="I35" s="37"/>
    </row>
    <row r="36" customFormat="false" ht="18.75" hidden="false" customHeight="true" outlineLevel="0" collapsed="false">
      <c r="B36" s="4" t="s">
        <v>40</v>
      </c>
      <c r="C36" s="4"/>
      <c r="D36" s="4"/>
      <c r="E36" s="4"/>
      <c r="F36" s="4"/>
      <c r="G36" s="4"/>
      <c r="H36" s="22" t="n">
        <f aca="false">H35*C6</f>
        <v>0</v>
      </c>
      <c r="I36" s="4"/>
    </row>
    <row r="37" customFormat="false" ht="18.75" hidden="false" customHeight="true" outlineLevel="0" collapsed="false">
      <c r="B37" s="24" t="s">
        <v>102</v>
      </c>
      <c r="C37" s="4"/>
      <c r="D37" s="4"/>
      <c r="E37" s="4"/>
      <c r="F37" s="4"/>
      <c r="G37" s="4"/>
      <c r="H37" s="25" t="n">
        <f aca="false">H35+H36</f>
        <v>1471.44072</v>
      </c>
      <c r="I37" s="4"/>
    </row>
  </sheetData>
  <mergeCells count="7">
    <mergeCell ref="B1:I1"/>
    <mergeCell ref="B2:I2"/>
    <mergeCell ref="B3:I3"/>
    <mergeCell ref="C5:F5"/>
    <mergeCell ref="B9:I9"/>
    <mergeCell ref="B15:I15"/>
    <mergeCell ref="B25:I25"/>
  </mergeCells>
  <conditionalFormatting sqref="H5">
    <cfRule type="expression" priority="2" aboveAverage="0" equalAverage="0" bottom="0" percent="0" rank="0" text="" dxfId="5">
      <formula>H5="OK"</formula>
    </cfRule>
    <cfRule type="expression" priority="3" aboveAverage="0" equalAverage="0" bottom="0" percent="0" rank="0" text="" dxfId="6">
      <formula>H5&lt;&gt;"OK"</formula>
    </cfRule>
  </conditionalFormatting>
  <dataValidations count="4">
    <dataValidation allowBlank="false" errorStyle="stop" operator="between" showDropDown="false" showErrorMessage="false" showInputMessage="false" sqref="I5" type="list">
      <formula1>"ja,nee"</formula1>
      <formula2>0</formula2>
    </dataValidation>
    <dataValidation allowBlank="false" errorStyle="stop" operator="between" showDropDown="false" showErrorMessage="false" showInputMessage="false" sqref="D17:D22" type="list">
      <formula1>"Sectie I,Sectie II,Aanneemsom incl. btw"</formula1>
      <formula2>0</formula2>
    </dataValidation>
    <dataValidation allowBlank="false" errorStyle="stop" operator="between" showDropDown="false" showErrorMessage="false" showInputMessage="false" sqref="E17:E22 E27:E32" type="list">
      <formula1>"Altijd,Hoogbouw,Zakelijk,Bouwtijd &gt; 3 jaar,Nooit"</formula1>
      <formula2>0</formula2>
    </dataValidation>
    <dataValidation allowBlank="false" errorStyle="stop" operator="between" showDropDown="false" showErrorMessage="false" showInputMessage="false" sqref="D27:D32" type="list">
      <formula1>"woning,project"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&amp;C&amp;"Arial,Regular"Heijmans Vastgoed | Tarieven SWK&amp;R&amp;"Arial,Regular"Pagina &amp;P van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A00"/>
    <pageSetUpPr fitToPage="true"/>
  </sheetPr>
  <dimension ref="B1:I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4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40"/>
  </cols>
  <sheetData>
    <row r="1" customFormat="false" ht="25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</row>
    <row r="2" customFormat="false" ht="31.5" hidden="false" customHeight="true" outlineLevel="0" collapsed="false">
      <c r="B2" s="2" t="s">
        <v>103</v>
      </c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B3" s="3" t="s">
        <v>60</v>
      </c>
      <c r="C3" s="3"/>
      <c r="D3" s="3"/>
      <c r="E3" s="3"/>
      <c r="F3" s="3"/>
      <c r="G3" s="3"/>
      <c r="H3" s="3"/>
      <c r="I3" s="3"/>
    </row>
    <row r="4" customFormat="false" ht="18.75" hidden="false" customHeight="true" outlineLevel="0" collapsed="false">
      <c r="B4" s="4"/>
      <c r="C4" s="4"/>
      <c r="D4" s="4"/>
      <c r="E4" s="4"/>
      <c r="F4" s="4"/>
      <c r="G4" s="4"/>
      <c r="H4" s="4"/>
      <c r="I4" s="4"/>
    </row>
    <row r="5" customFormat="false" ht="18.75" hidden="false" customHeight="true" outlineLevel="0" collapsed="false">
      <c r="B5" s="4" t="s">
        <v>61</v>
      </c>
      <c r="C5" s="15" t="s">
        <v>104</v>
      </c>
      <c r="D5" s="15"/>
      <c r="E5" s="15"/>
      <c r="F5" s="15"/>
      <c r="G5" s="49" t="s">
        <v>63</v>
      </c>
      <c r="H5" s="50" t="str">
        <f aca="false">IF(I5="ja","OK","CONTROLEREN")</f>
        <v>OK</v>
      </c>
      <c r="I5" s="18" t="s">
        <v>64</v>
      </c>
    </row>
    <row r="6" customFormat="false" ht="18.75" hidden="false" customHeight="true" outlineLevel="0" collapsed="false">
      <c r="B6" s="4" t="s">
        <v>40</v>
      </c>
      <c r="C6" s="21" t="n">
        <v>0.21</v>
      </c>
      <c r="D6" s="34" t="s">
        <v>105</v>
      </c>
      <c r="E6" s="4"/>
      <c r="F6" s="4"/>
      <c r="G6" s="4"/>
      <c r="H6" s="4"/>
      <c r="I6" s="4"/>
    </row>
    <row r="7" customFormat="false" ht="18.75" hidden="false" customHeight="true" outlineLevel="0" collapsed="false">
      <c r="B7" s="59" t="s">
        <v>106</v>
      </c>
      <c r="C7" s="59"/>
      <c r="D7" s="59"/>
      <c r="E7" s="59"/>
      <c r="F7" s="59"/>
      <c r="G7" s="59"/>
      <c r="H7" s="59"/>
      <c r="I7" s="59"/>
    </row>
    <row r="8" customFormat="false" ht="18.75" hidden="false" customHeight="true" outlineLevel="0" collapsed="false">
      <c r="B8" s="4"/>
      <c r="C8" s="4"/>
      <c r="D8" s="4"/>
      <c r="E8" s="4"/>
      <c r="F8" s="4"/>
      <c r="G8" s="4"/>
      <c r="H8" s="4"/>
      <c r="I8" s="4"/>
    </row>
    <row r="9" customFormat="false" ht="19.5" hidden="false" customHeight="true" outlineLevel="0" collapsed="false">
      <c r="B9" s="60" t="s">
        <v>107</v>
      </c>
      <c r="C9" s="60"/>
      <c r="D9" s="60"/>
      <c r="E9" s="60"/>
      <c r="F9" s="60"/>
      <c r="G9" s="60"/>
      <c r="H9" s="60"/>
      <c r="I9" s="60"/>
    </row>
    <row r="10" customFormat="false" ht="18.75" hidden="false" customHeight="true" outlineLevel="0" collapsed="false">
      <c r="B10" s="26" t="s">
        <v>21</v>
      </c>
      <c r="C10" s="29" t="s">
        <v>108</v>
      </c>
      <c r="D10" s="29" t="s">
        <v>109</v>
      </c>
      <c r="E10" s="29" t="s">
        <v>110</v>
      </c>
      <c r="F10" s="29"/>
      <c r="G10" s="29"/>
      <c r="H10" s="29"/>
      <c r="I10" s="26" t="s">
        <v>31</v>
      </c>
    </row>
    <row r="11" customFormat="false" ht="18.75" hidden="false" customHeight="true" outlineLevel="0" collapsed="false">
      <c r="B11" s="51" t="s">
        <v>111</v>
      </c>
      <c r="C11" s="4"/>
      <c r="D11" s="4"/>
      <c r="E11" s="4"/>
      <c r="F11" s="4"/>
      <c r="G11" s="4"/>
      <c r="H11" s="4"/>
      <c r="I11" s="4"/>
    </row>
    <row r="12" customFormat="false" ht="18.75" hidden="false" customHeight="true" outlineLevel="0" collapsed="false">
      <c r="B12" s="14" t="s">
        <v>22</v>
      </c>
      <c r="C12" s="61" t="n">
        <v>0.00227</v>
      </c>
      <c r="D12" s="61" t="n">
        <v>0.0025</v>
      </c>
      <c r="E12" s="62" t="s">
        <v>112</v>
      </c>
      <c r="F12" s="4"/>
      <c r="G12" s="4"/>
      <c r="H12" s="4"/>
      <c r="I12" s="34" t="s">
        <v>113</v>
      </c>
    </row>
    <row r="13" customFormat="false" ht="18.75" hidden="false" customHeight="true" outlineLevel="0" collapsed="false">
      <c r="B13" s="14" t="s">
        <v>114</v>
      </c>
      <c r="C13" s="61" t="n">
        <v>0.00321</v>
      </c>
      <c r="D13" s="61" t="n">
        <v>0.00354</v>
      </c>
      <c r="E13" s="62" t="s">
        <v>115</v>
      </c>
      <c r="F13" s="4"/>
      <c r="G13" s="4"/>
      <c r="H13" s="4"/>
      <c r="I13" s="34" t="s">
        <v>116</v>
      </c>
    </row>
    <row r="14" customFormat="false" ht="18.75" hidden="false" customHeight="true" outlineLevel="0" collapsed="false">
      <c r="B14" s="14" t="s">
        <v>117</v>
      </c>
      <c r="C14" s="61" t="n">
        <v>0.0038</v>
      </c>
      <c r="D14" s="61" t="n">
        <v>0.0038</v>
      </c>
      <c r="E14" s="62" t="s">
        <v>115</v>
      </c>
      <c r="F14" s="4"/>
      <c r="G14" s="4"/>
      <c r="H14" s="4"/>
      <c r="I14" s="34"/>
    </row>
    <row r="15" customFormat="false" ht="18.75" hidden="false" customHeight="true" outlineLevel="0" collapsed="false">
      <c r="B15" s="14" t="s">
        <v>118</v>
      </c>
      <c r="C15" s="61" t="n">
        <v>0.00321</v>
      </c>
      <c r="D15" s="61" t="n">
        <v>0.00321</v>
      </c>
      <c r="E15" s="62" t="s">
        <v>112</v>
      </c>
      <c r="F15" s="4"/>
      <c r="G15" s="4"/>
      <c r="H15" s="4"/>
      <c r="I15" s="34" t="s">
        <v>119</v>
      </c>
    </row>
    <row r="16" customFormat="false" ht="18.75" hidden="false" customHeight="true" outlineLevel="0" collapsed="false">
      <c r="B16" s="14" t="s">
        <v>120</v>
      </c>
      <c r="C16" s="61" t="n">
        <v>0.00568</v>
      </c>
      <c r="D16" s="61" t="n">
        <v>0.00757</v>
      </c>
      <c r="E16" s="62" t="s">
        <v>121</v>
      </c>
      <c r="F16" s="4"/>
      <c r="G16" s="4"/>
      <c r="H16" s="4"/>
      <c r="I16" s="34"/>
    </row>
    <row r="17" customFormat="false" ht="18.75" hidden="false" customHeight="true" outlineLevel="0" collapsed="false">
      <c r="B17" s="14" t="s">
        <v>122</v>
      </c>
      <c r="C17" s="61" t="n">
        <v>0.00343</v>
      </c>
      <c r="D17" s="61" t="n">
        <v>0.00458</v>
      </c>
      <c r="E17" s="62" t="s">
        <v>121</v>
      </c>
      <c r="F17" s="4"/>
      <c r="G17" s="4"/>
      <c r="H17" s="4"/>
      <c r="I17" s="34"/>
    </row>
    <row r="18" customFormat="false" ht="18.75" hidden="false" customHeight="true" outlineLevel="0" collapsed="false">
      <c r="B18" s="14" t="s">
        <v>123</v>
      </c>
      <c r="C18" s="61" t="n">
        <v>0.00903</v>
      </c>
      <c r="D18" s="61" t="n">
        <v>0.00903</v>
      </c>
      <c r="E18" s="62" t="s">
        <v>124</v>
      </c>
      <c r="F18" s="4"/>
      <c r="G18" s="4"/>
      <c r="H18" s="4"/>
      <c r="I18" s="34" t="s">
        <v>125</v>
      </c>
    </row>
    <row r="19" customFormat="false" ht="18.75" hidden="false" customHeight="true" outlineLevel="0" collapsed="false">
      <c r="B19" s="14" t="s">
        <v>126</v>
      </c>
      <c r="C19" s="61" t="n">
        <v>0.00343</v>
      </c>
      <c r="D19" s="61" t="n">
        <v>0.00343</v>
      </c>
      <c r="E19" s="62" t="s">
        <v>121</v>
      </c>
      <c r="F19" s="4"/>
      <c r="G19" s="4"/>
      <c r="H19" s="4"/>
      <c r="I19" s="34" t="s">
        <v>127</v>
      </c>
    </row>
    <row r="20" customFormat="false" ht="18.75" hidden="false" customHeight="true" outlineLevel="0" collapsed="false">
      <c r="B20" s="4"/>
      <c r="C20" s="4"/>
      <c r="D20" s="4"/>
      <c r="E20" s="4"/>
      <c r="F20" s="4"/>
      <c r="G20" s="4"/>
      <c r="H20" s="4"/>
      <c r="I20" s="4"/>
    </row>
    <row r="21" customFormat="false" ht="19.5" hidden="false" customHeight="true" outlineLevel="0" collapsed="false">
      <c r="B21" s="60" t="s">
        <v>128</v>
      </c>
      <c r="C21" s="60"/>
      <c r="D21" s="60"/>
      <c r="E21" s="60"/>
      <c r="F21" s="60"/>
      <c r="G21" s="60"/>
      <c r="H21" s="60"/>
      <c r="I21" s="60"/>
    </row>
    <row r="22" customFormat="false" ht="18.75" hidden="false" customHeight="true" outlineLevel="0" collapsed="false">
      <c r="B22" s="14" t="s">
        <v>129</v>
      </c>
      <c r="C22" s="4"/>
      <c r="D22" s="63" t="str">
        <f aca="false">WB_Regeling</f>
        <v>Particulier nieuwbouw – verkoop met grond</v>
      </c>
      <c r="E22" s="63"/>
      <c r="F22" s="63"/>
      <c r="G22" s="4"/>
      <c r="H22" s="4"/>
      <c r="I22" s="4"/>
    </row>
    <row r="23" customFormat="false" ht="18.75" hidden="false" customHeight="true" outlineLevel="0" collapsed="false">
      <c r="B23" s="14" t="s">
        <v>24</v>
      </c>
      <c r="C23" s="4"/>
      <c r="D23" s="63" t="str">
        <f aca="false">WB_Hoog</f>
        <v>nee</v>
      </c>
      <c r="E23" s="63"/>
      <c r="F23" s="63"/>
      <c r="G23" s="4"/>
      <c r="H23" s="4"/>
      <c r="I23" s="4"/>
    </row>
    <row r="24" customFormat="false" ht="18.75" hidden="false" customHeight="true" outlineLevel="0" collapsed="false">
      <c r="B24" s="14" t="s">
        <v>67</v>
      </c>
      <c r="C24" s="4"/>
      <c r="D24" s="64" t="n">
        <f aca="false">IFERROR(IF(WB_Hoog="ja",INDEX($D$12:$D$19,MATCH(WB_Regeling,$B$12:$B$19,0)),INDEX($C$12:$C$19,MATCH(WB_Regeling,$B$12:$B$19,0))),0)</f>
        <v>0.00227</v>
      </c>
      <c r="E24" s="64"/>
      <c r="F24" s="64"/>
      <c r="G24" s="4"/>
      <c r="H24" s="4"/>
      <c r="I24" s="4"/>
    </row>
    <row r="25" customFormat="false" ht="18.75" hidden="false" customHeight="true" outlineLevel="0" collapsed="false">
      <c r="B25" s="14" t="s">
        <v>130</v>
      </c>
      <c r="C25" s="4"/>
      <c r="D25" s="63" t="str">
        <f aca="false">IFERROR(INDEX($E$12:$E$19,MATCH(WB_Regeling,$B$12:$B$19,0)),"")</f>
        <v>Koop- en aanneemsom incl. btw</v>
      </c>
      <c r="E25" s="63"/>
      <c r="F25" s="63"/>
      <c r="G25" s="4"/>
      <c r="H25" s="4"/>
      <c r="I25" s="4"/>
    </row>
    <row r="26" customFormat="false" ht="18.75" hidden="false" customHeight="true" outlineLevel="0" collapsed="false">
      <c r="B26" s="14" t="s">
        <v>69</v>
      </c>
      <c r="C26" s="4"/>
      <c r="D26" s="65" t="n">
        <f aca="false">IF(D25="Koop- en aanneemsom incl. btw",KoopAanneemIncl,IF(D25="Aanneemsom incl. btw",AanneemsomIncl,IF(D25="Koop- en aanneemsom excl. btw",AanneemsomExcl+GrondExcl,IF(D25="Aanneemsom excl. btw",AanneemsomExcl,0))))</f>
        <v>605000</v>
      </c>
      <c r="E26" s="65"/>
      <c r="F26" s="65"/>
      <c r="G26" s="4"/>
      <c r="H26" s="4"/>
      <c r="I26" s="4"/>
    </row>
    <row r="27" customFormat="false" ht="18.75" hidden="false" customHeight="true" outlineLevel="0" collapsed="false">
      <c r="B27" s="66" t="s">
        <v>131</v>
      </c>
      <c r="C27" s="4"/>
      <c r="D27" s="4"/>
      <c r="E27" s="4"/>
      <c r="F27" s="4"/>
      <c r="G27" s="4"/>
      <c r="H27" s="25" t="n">
        <f aca="false">D26*D24</f>
        <v>1373.35</v>
      </c>
      <c r="I27" s="4"/>
    </row>
    <row r="28" customFormat="false" ht="18.75" hidden="false" customHeight="true" outlineLevel="0" collapsed="false">
      <c r="B28" s="4"/>
      <c r="C28" s="4"/>
      <c r="D28" s="4"/>
      <c r="E28" s="4"/>
      <c r="F28" s="4"/>
      <c r="G28" s="4"/>
      <c r="H28" s="4"/>
      <c r="I28" s="4"/>
    </row>
    <row r="29" customFormat="false" ht="19.5" hidden="false" customHeight="true" outlineLevel="0" collapsed="false">
      <c r="B29" s="60" t="s">
        <v>132</v>
      </c>
      <c r="C29" s="60"/>
      <c r="D29" s="60"/>
      <c r="E29" s="60"/>
      <c r="F29" s="60"/>
      <c r="G29" s="60"/>
      <c r="H29" s="60"/>
      <c r="I29" s="60"/>
    </row>
    <row r="30" customFormat="false" ht="18.75" hidden="false" customHeight="true" outlineLevel="0" collapsed="false">
      <c r="B30" s="26" t="s">
        <v>77</v>
      </c>
      <c r="C30" s="29" t="s">
        <v>94</v>
      </c>
      <c r="D30" s="29" t="s">
        <v>96</v>
      </c>
      <c r="E30" s="29" t="s">
        <v>133</v>
      </c>
      <c r="F30" s="29"/>
      <c r="G30" s="29"/>
      <c r="H30" s="29" t="s">
        <v>134</v>
      </c>
      <c r="I30" s="26" t="s">
        <v>31</v>
      </c>
    </row>
    <row r="31" customFormat="false" ht="18.75" hidden="false" customHeight="true" outlineLevel="0" collapsed="false">
      <c r="B31" s="14" t="s">
        <v>135</v>
      </c>
      <c r="C31" s="19" t="n">
        <v>1041</v>
      </c>
      <c r="D31" s="67" t="n">
        <v>0</v>
      </c>
      <c r="E31" s="34" t="s">
        <v>136</v>
      </c>
      <c r="F31" s="4"/>
      <c r="G31" s="4"/>
      <c r="H31" s="22" t="n">
        <f aca="false">C31*D31</f>
        <v>0</v>
      </c>
      <c r="I31" s="34" t="s">
        <v>137</v>
      </c>
    </row>
    <row r="32" customFormat="false" ht="18.75" hidden="false" customHeight="true" outlineLevel="0" collapsed="false">
      <c r="B32" s="14" t="s">
        <v>138</v>
      </c>
      <c r="C32" s="19" t="n">
        <v>911</v>
      </c>
      <c r="D32" s="67" t="n">
        <v>0</v>
      </c>
      <c r="E32" s="34" t="s">
        <v>139</v>
      </c>
      <c r="F32" s="4"/>
      <c r="G32" s="4"/>
      <c r="H32" s="22" t="n">
        <f aca="false">C32*D32</f>
        <v>0</v>
      </c>
      <c r="I32" s="34" t="s">
        <v>137</v>
      </c>
    </row>
    <row r="33" customFormat="false" ht="18.75" hidden="false" customHeight="true" outlineLevel="0" collapsed="false">
      <c r="B33" s="14" t="s">
        <v>140</v>
      </c>
      <c r="C33" s="19" t="n">
        <v>1500</v>
      </c>
      <c r="D33" s="67" t="n">
        <v>0</v>
      </c>
      <c r="E33" s="34" t="s">
        <v>141</v>
      </c>
      <c r="F33" s="4"/>
      <c r="G33" s="4"/>
      <c r="H33" s="22" t="n">
        <f aca="false">C33*D33</f>
        <v>0</v>
      </c>
      <c r="I33" s="34" t="s">
        <v>142</v>
      </c>
    </row>
    <row r="34" customFormat="false" ht="18.75" hidden="false" customHeight="true" outlineLevel="0" collapsed="false">
      <c r="B34" s="14" t="s">
        <v>143</v>
      </c>
      <c r="C34" s="19" t="n">
        <v>500</v>
      </c>
      <c r="D34" s="67" t="n">
        <v>0</v>
      </c>
      <c r="E34" s="34" t="s">
        <v>141</v>
      </c>
      <c r="F34" s="4"/>
      <c r="G34" s="4"/>
      <c r="H34" s="22" t="n">
        <f aca="false">C34*D34</f>
        <v>0</v>
      </c>
      <c r="I34" s="34" t="s">
        <v>142</v>
      </c>
    </row>
    <row r="35" customFormat="false" ht="18.75" hidden="false" customHeight="true" outlineLevel="0" collapsed="false">
      <c r="B35" s="14" t="s">
        <v>144</v>
      </c>
      <c r="C35" s="19" t="n">
        <v>2500</v>
      </c>
      <c r="D35" s="67" t="n">
        <v>0</v>
      </c>
      <c r="E35" s="34" t="s">
        <v>141</v>
      </c>
      <c r="F35" s="4"/>
      <c r="G35" s="4"/>
      <c r="H35" s="22" t="n">
        <f aca="false">C35*D35</f>
        <v>0</v>
      </c>
      <c r="I35" s="34" t="s">
        <v>142</v>
      </c>
    </row>
    <row r="36" customFormat="false" ht="18.75" hidden="false" customHeight="true" outlineLevel="0" collapsed="false">
      <c r="B36" s="14" t="s">
        <v>145</v>
      </c>
      <c r="C36" s="19" t="n">
        <v>1500</v>
      </c>
      <c r="D36" s="67" t="n">
        <v>0</v>
      </c>
      <c r="E36" s="34" t="s">
        <v>141</v>
      </c>
      <c r="F36" s="4"/>
      <c r="G36" s="4"/>
      <c r="H36" s="22" t="n">
        <f aca="false">C36*D36</f>
        <v>0</v>
      </c>
      <c r="I36" s="34" t="s">
        <v>142</v>
      </c>
    </row>
    <row r="37" customFormat="false" ht="18.75" hidden="false" customHeight="true" outlineLevel="0" collapsed="false">
      <c r="B37" s="14" t="s">
        <v>146</v>
      </c>
      <c r="C37" s="19" t="n">
        <v>1250</v>
      </c>
      <c r="D37" s="67" t="n">
        <v>0</v>
      </c>
      <c r="E37" s="34" t="s">
        <v>141</v>
      </c>
      <c r="F37" s="4"/>
      <c r="G37" s="4"/>
      <c r="H37" s="22" t="n">
        <f aca="false">C37*D37</f>
        <v>0</v>
      </c>
      <c r="I37" s="34" t="s">
        <v>142</v>
      </c>
    </row>
    <row r="38" customFormat="false" ht="18.75" hidden="false" customHeight="true" outlineLevel="0" collapsed="false">
      <c r="B38" s="14" t="s">
        <v>147</v>
      </c>
      <c r="C38" s="19" t="n">
        <v>644</v>
      </c>
      <c r="D38" s="67" t="n">
        <v>0</v>
      </c>
      <c r="E38" s="34" t="s">
        <v>148</v>
      </c>
      <c r="F38" s="4"/>
      <c r="G38" s="4"/>
      <c r="H38" s="22" t="n">
        <f aca="false">C38*D38</f>
        <v>0</v>
      </c>
      <c r="I38" s="34" t="s">
        <v>149</v>
      </c>
    </row>
    <row r="39" customFormat="false" ht="18.75" hidden="false" customHeight="true" outlineLevel="0" collapsed="false">
      <c r="B39" s="14" t="s">
        <v>150</v>
      </c>
      <c r="C39" s="19" t="n">
        <v>4018</v>
      </c>
      <c r="D39" s="67" t="n">
        <v>0</v>
      </c>
      <c r="E39" s="34" t="s">
        <v>142</v>
      </c>
      <c r="F39" s="4"/>
      <c r="G39" s="4"/>
      <c r="H39" s="22" t="n">
        <f aca="false">C39*D39</f>
        <v>0</v>
      </c>
      <c r="I39" s="34" t="s">
        <v>151</v>
      </c>
    </row>
    <row r="40" customFormat="false" ht="18.75" hidden="false" customHeight="true" outlineLevel="0" collapsed="false">
      <c r="B40" s="4"/>
      <c r="C40" s="4"/>
      <c r="D40" s="4"/>
      <c r="E40" s="4"/>
      <c r="F40" s="4"/>
      <c r="G40" s="49" t="s">
        <v>92</v>
      </c>
      <c r="H40" s="25" t="n">
        <f aca="false">SUM(H31:H39)</f>
        <v>0</v>
      </c>
      <c r="I40" s="4"/>
    </row>
    <row r="41" customFormat="false" ht="18.75" hidden="false" customHeight="true" outlineLevel="0" collapsed="false">
      <c r="B41" s="34" t="s">
        <v>152</v>
      </c>
      <c r="C41" s="4"/>
      <c r="D41" s="4"/>
      <c r="E41" s="4"/>
      <c r="F41" s="4"/>
      <c r="G41" s="4"/>
      <c r="H41" s="4"/>
      <c r="I41" s="4"/>
    </row>
    <row r="42" customFormat="false" ht="18.75" hidden="false" customHeight="true" outlineLevel="0" collapsed="false">
      <c r="B42" s="4"/>
      <c r="C42" s="4"/>
      <c r="D42" s="4"/>
      <c r="E42" s="4"/>
      <c r="F42" s="4"/>
      <c r="G42" s="4"/>
      <c r="H42" s="4"/>
      <c r="I42" s="4"/>
    </row>
    <row r="43" customFormat="false" ht="24" hidden="false" customHeight="true" outlineLevel="0" collapsed="false">
      <c r="B43" s="35" t="s">
        <v>153</v>
      </c>
      <c r="C43" s="37"/>
      <c r="D43" s="37"/>
      <c r="E43" s="37"/>
      <c r="F43" s="37"/>
      <c r="G43" s="37"/>
      <c r="H43" s="36" t="n">
        <f aca="false">H27+H40</f>
        <v>1373.35</v>
      </c>
      <c r="I43" s="37"/>
    </row>
    <row r="44" customFormat="false" ht="18.75" hidden="false" customHeight="true" outlineLevel="0" collapsed="false">
      <c r="B44" s="4" t="s">
        <v>40</v>
      </c>
      <c r="C44" s="4"/>
      <c r="D44" s="4"/>
      <c r="E44" s="4"/>
      <c r="F44" s="4"/>
      <c r="G44" s="4"/>
      <c r="H44" s="22" t="n">
        <f aca="false">H43*C6</f>
        <v>288.4035</v>
      </c>
      <c r="I44" s="4"/>
    </row>
    <row r="45" customFormat="false" ht="18.75" hidden="false" customHeight="true" outlineLevel="0" collapsed="false">
      <c r="B45" s="24" t="s">
        <v>154</v>
      </c>
      <c r="C45" s="4"/>
      <c r="D45" s="4"/>
      <c r="E45" s="4"/>
      <c r="F45" s="4"/>
      <c r="G45" s="4"/>
      <c r="H45" s="25" t="n">
        <f aca="false">H43+H44</f>
        <v>1661.7535</v>
      </c>
      <c r="I45" s="4"/>
    </row>
  </sheetData>
  <mergeCells count="13">
    <mergeCell ref="B1:I1"/>
    <mergeCell ref="B2:I2"/>
    <mergeCell ref="B3:I3"/>
    <mergeCell ref="C5:F5"/>
    <mergeCell ref="B7:I7"/>
    <mergeCell ref="B9:I9"/>
    <mergeCell ref="B21:I21"/>
    <mergeCell ref="D22:F22"/>
    <mergeCell ref="D23:F23"/>
    <mergeCell ref="D24:F24"/>
    <mergeCell ref="D25:F25"/>
    <mergeCell ref="D26:F26"/>
    <mergeCell ref="B29:I29"/>
  </mergeCells>
  <conditionalFormatting sqref="H5">
    <cfRule type="expression" priority="2" aboveAverage="0" equalAverage="0" bottom="0" percent="0" rank="0" text="" dxfId="5">
      <formula>H5="OK"</formula>
    </cfRule>
    <cfRule type="expression" priority="3" aboveAverage="0" equalAverage="0" bottom="0" percent="0" rank="0" text="" dxfId="6">
      <formula>H5&lt;&gt;"OK"</formula>
    </cfRule>
  </conditionalFormatting>
  <conditionalFormatting sqref="B12:E19">
    <cfRule type="expression" priority="4" aboveAverage="0" equalAverage="0" bottom="0" percent="0" rank="0" text="" dxfId="7">
      <formula>$B12=WB_Regeling</formula>
    </cfRule>
  </conditionalFormatting>
  <dataValidations count="2">
    <dataValidation allowBlank="false" errorStyle="stop" operator="between" showDropDown="false" showErrorMessage="false" showInputMessage="false" sqref="I5" type="list">
      <formula1>"ja,nee"</formula1>
      <formula2>0</formula2>
    </dataValidation>
    <dataValidation allowBlank="false" errorStyle="stop" operator="between" showDropDown="false" showErrorMessage="false" showInputMessage="false" sqref="E12:E19" type="list">
      <formula1>"Koop- en aanneemsom incl. btw,Aanneemsom incl. btw,Koop- en aanneemsom excl. btw,Aanneemsom excl. btw"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&amp;C&amp;"Arial,Regular"Heijmans Vastgoed | Tarieven Woningborg 2027&amp;R&amp;"Arial,Regular"Pagina &amp;P van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120"/>
  </cols>
  <sheetData>
    <row r="1" customFormat="false" ht="25.5" hidden="false" customHeight="true" outlineLevel="0" collapsed="false">
      <c r="B1" s="1" t="s">
        <v>0</v>
      </c>
      <c r="C1" s="1"/>
    </row>
    <row r="2" customFormat="false" ht="31.5" hidden="false" customHeight="true" outlineLevel="0" collapsed="false">
      <c r="B2" s="2" t="s">
        <v>31</v>
      </c>
      <c r="C2" s="2"/>
    </row>
    <row r="3" customFormat="false" ht="15" hidden="false" customHeight="false" outlineLevel="0" collapsed="false">
      <c r="B3" s="3" t="s">
        <v>155</v>
      </c>
      <c r="C3" s="3"/>
    </row>
    <row r="5" customFormat="false" ht="19.5" hidden="false" customHeight="true" outlineLevel="0" collapsed="false">
      <c r="B5" s="68" t="s">
        <v>156</v>
      </c>
      <c r="C5" s="69" t="s">
        <v>157</v>
      </c>
    </row>
    <row r="6" customFormat="false" ht="19.5" hidden="false" customHeight="true" outlineLevel="0" collapsed="false">
      <c r="B6" s="68" t="s">
        <v>158</v>
      </c>
      <c r="C6" s="69" t="s">
        <v>159</v>
      </c>
    </row>
    <row r="7" customFormat="false" ht="19.5" hidden="false" customHeight="true" outlineLevel="0" collapsed="false">
      <c r="B7" s="68" t="s">
        <v>160</v>
      </c>
      <c r="C7" s="69" t="s">
        <v>161</v>
      </c>
    </row>
    <row r="8" customFormat="false" ht="19.5" hidden="false" customHeight="true" outlineLevel="0" collapsed="false">
      <c r="B8" s="68"/>
      <c r="C8" s="70"/>
    </row>
    <row r="9" customFormat="false" ht="19.5" hidden="false" customHeight="true" outlineLevel="0" collapsed="false">
      <c r="B9" s="68"/>
      <c r="C9" s="68" t="s">
        <v>162</v>
      </c>
    </row>
    <row r="10" customFormat="false" ht="19.5" hidden="false" customHeight="true" outlineLevel="0" collapsed="false">
      <c r="B10" s="68" t="s">
        <v>163</v>
      </c>
      <c r="C10" s="69" t="s">
        <v>164</v>
      </c>
    </row>
    <row r="11" customFormat="false" ht="19.5" hidden="false" customHeight="true" outlineLevel="0" collapsed="false">
      <c r="B11" s="68" t="s">
        <v>163</v>
      </c>
      <c r="C11" s="69" t="s">
        <v>165</v>
      </c>
    </row>
    <row r="12" customFormat="false" ht="19.5" hidden="false" customHeight="true" outlineLevel="0" collapsed="false">
      <c r="B12" s="68" t="s">
        <v>163</v>
      </c>
      <c r="C12" s="69" t="s">
        <v>166</v>
      </c>
    </row>
    <row r="13" customFormat="false" ht="19.5" hidden="false" customHeight="true" outlineLevel="0" collapsed="false">
      <c r="B13" s="68" t="s">
        <v>163</v>
      </c>
      <c r="C13" s="69" t="s">
        <v>167</v>
      </c>
    </row>
    <row r="14" customFormat="false" ht="19.5" hidden="false" customHeight="true" outlineLevel="0" collapsed="false">
      <c r="B14" s="68" t="s">
        <v>163</v>
      </c>
      <c r="C14" s="69" t="s">
        <v>168</v>
      </c>
    </row>
    <row r="15" customFormat="false" ht="19.5" hidden="false" customHeight="true" outlineLevel="0" collapsed="false">
      <c r="B15" s="68" t="s">
        <v>163</v>
      </c>
      <c r="C15" s="69" t="s">
        <v>169</v>
      </c>
    </row>
  </sheetData>
  <mergeCells count="3">
    <mergeCell ref="B1:C1"/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2026-10-22T08:49:32Z</dcterms:created>
  <dc:creator>openpyxl</dc:creator>
  <dc:description/>
  <dc:language>en-US</dc:language>
  <cp:lastModifiedBy/>
  <dcterms:modified xsi:type="dcterms:W3CDTF">2026-10-22T08:49:34Z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