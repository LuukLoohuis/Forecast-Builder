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Toelichting" sheetId="1" state="visible" r:id="rId3"/>
    <sheet name="Vergelijking" sheetId="2" state="visible" r:id="rId4"/>
    <sheet name="Project" sheetId="3" state="visible" r:id="rId5"/>
    <sheet name="Tarieven SWK" sheetId="4" state="visible" r:id="rId6"/>
    <sheet name="Tarieven Woningborg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29" authorId="0">
      <text>
        <r>
          <rPr>
            <sz val="10"/>
            <rFont val="Arial"/>
            <family val="2"/>
          </rPr>
          <t xml:space="preserve">Gemiddelde koopsom per woning (gewogen).</t>
        </r>
      </text>
    </comment>
  </commentList>
</comments>
</file>

<file path=xl/sharedStrings.xml><?xml version="1.0" encoding="utf-8"?>
<sst xmlns="http://schemas.openxmlformats.org/spreadsheetml/2006/main" count="122" uniqueCount="92">
  <si>
    <t xml:space="preserve">Tariefvergelijking SWK vs. Woningborg</t>
  </si>
  <si>
    <t xml:space="preserve">Garantie- en waarborgregeling nieuwbouw — vergelijkingstemplate</t>
  </si>
  <si>
    <t xml:space="preserve">Zo werkt het</t>
  </si>
  <si>
    <t xml:space="preserve">1</t>
  </si>
  <si>
    <t xml:space="preserve">Vul op tabblad 'Project' de projectgegevens en de woningtypes in (aantal + koop-/aanneemsom per woning).</t>
  </si>
  <si>
    <t xml:space="preserve">2</t>
  </si>
  <si>
    <t xml:space="preserve">Controleer op 'Tarieven SWK' en 'Tarieven Woningborg' de staffels en overige kosten en vervang ze door de actuele tarieflijst.</t>
  </si>
  <si>
    <t xml:space="preserve">3</t>
  </si>
  <si>
    <t xml:space="preserve">Bekijk het resultaat op 'Vergelijking': kosten per woningtype, totalen excl./incl. btw, verschil en advies.</t>
  </si>
  <si>
    <t xml:space="preserve">Legenda</t>
  </si>
  <si>
    <t xml:space="preserve">Invoercel — blauwe tekst op lichtgele achtergrond. Alleen deze cellen aanpassen.</t>
  </si>
  <si>
    <t xml:space="preserve">Berekening — zwarte tekst. Niet overschrijven; formules rekenen automatisch door.</t>
  </si>
  <si>
    <t xml:space="preserve">Kolom- en blokkleuren: groenblauw = SWK, oranje = Woningborg.</t>
  </si>
  <si>
    <t xml:space="preserve">Belangrijk</t>
  </si>
  <si>
    <t xml:space="preserve">!</t>
  </si>
  <si>
    <t xml:space="preserve">De ingevulde tarieven zijn VOORBEELDWAARDEN om de werking te tonen; het zijn géén officiële tarieven van SWK of Woningborg.</t>
  </si>
  <si>
    <t xml:space="preserve">Staffels werken op basis van de ondergrens: een woning valt in de hoogste staffel waarvan de ondergrens ≤ koopsom. Houd de ondergrenzen oplopend.</t>
  </si>
  <si>
    <t xml:space="preserve">Gebruik per regeling de grondslag die de instelling hanteert (meestal koop-/aanneemsom incl. btw) en wees consistent tussen beide tabbladen.</t>
  </si>
  <si>
    <t xml:space="preserve">Tarief per woning = vast bedrag uit de staffel + (percentage × koopsom). Laat het percentage leeg als de instelling met vaste bedragen werkt.</t>
  </si>
  <si>
    <t xml:space="preserve">Vergelijking SWK vs. Woningborg</t>
  </si>
  <si>
    <t xml:space="preserve">Totaal SWK (incl. btw)</t>
  </si>
  <si>
    <t xml:space="preserve">Totaal Woningborg (incl. btw)</t>
  </si>
  <si>
    <t xml:space="preserve">Verschil</t>
  </si>
  <si>
    <t xml:space="preserve">Voordeligst</t>
  </si>
  <si>
    <t xml:space="preserve">Registratiekosten per woningtype (excl. btw)</t>
  </si>
  <si>
    <t xml:space="preserve">Woningtype</t>
  </si>
  <si>
    <t xml:space="preserve">Aantal</t>
  </si>
  <si>
    <t xml:space="preserve">Koopsom per woning</t>
  </si>
  <si>
    <t xml:space="preserve">SWK per woning</t>
  </si>
  <si>
    <t xml:space="preserve">SWK totaal</t>
  </si>
  <si>
    <t xml:space="preserve">Woningborg per woning</t>
  </si>
  <si>
    <t xml:space="preserve">Woningborg totaal</t>
  </si>
  <si>
    <t xml:space="preserve">Verschil totaal (WB − SWK)</t>
  </si>
  <si>
    <t xml:space="preserve">Totaal</t>
  </si>
  <si>
    <t xml:space="preserve">Totaaloverzicht</t>
  </si>
  <si>
    <t xml:space="preserve">Kostenpost</t>
  </si>
  <si>
    <t xml:space="preserve">SWK</t>
  </si>
  <si>
    <t xml:space="preserve">Woningborg</t>
  </si>
  <si>
    <t xml:space="preserve">Verschil (WB − SWK)</t>
  </si>
  <si>
    <t xml:space="preserve">Registratiekosten (staffel)</t>
  </si>
  <si>
    <t xml:space="preserve">Overige kosten</t>
  </si>
  <si>
    <t xml:space="preserve">Subtotaal excl. btw</t>
  </si>
  <si>
    <t xml:space="preserve">Btw</t>
  </si>
  <si>
    <t xml:space="preserve">Totaal incl. btw (TCO)</t>
  </si>
  <si>
    <t xml:space="preserve">Gemiddeld per woning (incl. btw)</t>
  </si>
  <si>
    <t xml:space="preserve">In % van totale koopsom</t>
  </si>
  <si>
    <t xml:space="preserve">Positief verschil = Woningborg duurder; negatief = Woningborg goedkoper. Tarieven zijn voorbeeldwaarden tot ze op de tarieftabbladen zijn vervangen.</t>
  </si>
  <si>
    <t xml:space="preserve">Projectgegevens</t>
  </si>
  <si>
    <t xml:space="preserve">Vul de gele cellen in</t>
  </si>
  <si>
    <t xml:space="preserve">Algemeen</t>
  </si>
  <si>
    <t xml:space="preserve">Projectnaam</t>
  </si>
  <si>
    <t xml:space="preserve">Voorbeeldproject De Hoven</t>
  </si>
  <si>
    <t xml:space="preserve">Opdrachtgever / ontwikkelaar</t>
  </si>
  <si>
    <t xml:space="preserve">Voorbeeld Ontwikkeling B.V.</t>
  </si>
  <si>
    <t xml:space="preserve">Datum vergelijking</t>
  </si>
  <si>
    <t xml:space="preserve">2026-10-22</t>
  </si>
  <si>
    <t xml:space="preserve">Tariefjaar</t>
  </si>
  <si>
    <t xml:space="preserve">2026</t>
  </si>
  <si>
    <t xml:space="preserve">Btw-percentage op tarieven</t>
  </si>
  <si>
    <t xml:space="preserve">Zet op 0% als de tarieven al incl. btw zijn of btw niet van toepassing is.</t>
  </si>
  <si>
    <t xml:space="preserve">Woningtypes</t>
  </si>
  <si>
    <t xml:space="preserve">Koop-/aanneemsom per woning (€)</t>
  </si>
  <si>
    <t xml:space="preserve">Totale koopsom (€)</t>
  </si>
  <si>
    <t xml:space="preserve">Opmerking</t>
  </si>
  <si>
    <t xml:space="preserve">Tussenwoning</t>
  </si>
  <si>
    <t xml:space="preserve">Hoekwoning</t>
  </si>
  <si>
    <t xml:space="preserve">Twee-onder-een-kap</t>
  </si>
  <si>
    <t xml:space="preserve">Appartement</t>
  </si>
  <si>
    <t xml:space="preserve">Voorbeeldregels (rij 14–17) mogen worden overschreven of gewist.</t>
  </si>
  <si>
    <t xml:space="preserve">Tarieven SWK</t>
  </si>
  <si>
    <t xml:space="preserve">VOORBEELDTARIEVEN — vervang door de actuele tarieflijst</t>
  </si>
  <si>
    <t xml:space="preserve">Bron / tarieflijst:</t>
  </si>
  <si>
    <t xml:space="preserve">Voorbeeld — invullen (naam document + datum)</t>
  </si>
  <si>
    <t xml:space="preserve">Staffel registratie per woning (excl. btw)</t>
  </si>
  <si>
    <t xml:space="preserve">Ondergrens koopsom (€)</t>
  </si>
  <si>
    <t xml:space="preserve">Bovengrens koopsom (€)</t>
  </si>
  <si>
    <t xml:space="preserve">Vast bedrag per woning (€)</t>
  </si>
  <si>
    <t xml:space="preserve">Percentage van koopsom</t>
  </si>
  <si>
    <t xml:space="preserve">Toelichting</t>
  </si>
  <si>
    <t xml:space="preserve">Overige kosten (excl. btw)</t>
  </si>
  <si>
    <t xml:space="preserve">Omschrijving</t>
  </si>
  <si>
    <t xml:space="preserve">Grondslag</t>
  </si>
  <si>
    <t xml:space="preserve">Bedrag (€)</t>
  </si>
  <si>
    <t xml:space="preserve">Aantal keer</t>
  </si>
  <si>
    <t xml:space="preserve">Totaal (€)</t>
  </si>
  <si>
    <t xml:space="preserve">Projectaanmelding</t>
  </si>
  <si>
    <t xml:space="preserve">Per project</t>
  </si>
  <si>
    <t xml:space="preserve">Planbeoordeling</t>
  </si>
  <si>
    <t xml:space="preserve">Per woning</t>
  </si>
  <si>
    <t xml:space="preserve">Totaal overige kosten</t>
  </si>
  <si>
    <t xml:space="preserve">Grondslag 'Per woning' wordt vermenigvuldigd met het totaal aantal woningen; 'Aantal keer' is optioneel (bijv. jaren bij een jaarbijdrage).</t>
  </si>
  <si>
    <t xml:space="preserve">Tarieven Woningborg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</si>
</sst>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€ &quot;#,##0;[RED]&quot;-€ &quot;#,##0;\-"/>
    <numFmt numFmtId="166" formatCode="#,##0"/>
    <numFmt numFmtId="167" formatCode="&quot;€ &quot;#,##0.00;[RED]&quot;-€ &quot;#,##0.00;\-"/>
    <numFmt numFmtId="168" formatCode="0.00%;[RED]\-0.00%;\-"/>
    <numFmt numFmtId="169" formatCode="&quot;€ &quot;#,##0"/>
    <numFmt numFmtId="170" formatCode="0%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FFFFFF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b val="true"/>
      <sz val="10"/>
      <color rgb="FF1F3A5F"/>
      <name val="Arial"/>
      <family val="0"/>
      <charset val="1"/>
    </font>
    <font>
      <sz val="1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8"/>
      <color rgb="FF2A9D8F"/>
      <name val="Arial"/>
      <family val="0"/>
      <charset val="1"/>
    </font>
    <font>
      <b val="true"/>
      <sz val="18"/>
      <color rgb="FFE07A2F"/>
      <name val="Arial"/>
      <family val="0"/>
      <charset val="1"/>
    </font>
    <font>
      <b val="true"/>
      <sz val="18"/>
      <color rgb="FF1F3A5F"/>
      <name val="Arial"/>
      <family val="0"/>
      <charset val="1"/>
    </font>
    <font>
      <i val="true"/>
      <sz val="9"/>
      <color rgb="FF66708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2A9D8F"/>
      <name val="Arial"/>
      <family val="0"/>
      <charset val="1"/>
    </font>
    <font>
      <b val="true"/>
      <sz val="11"/>
      <color rgb="FFE07A2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0"/>
      <color rgb="FF0000FF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6D5"/>
        <bgColor rgb="FFF2F4F7"/>
      </patternFill>
    </fill>
    <fill>
      <patternFill patternType="solid">
        <fgColor rgb="FF2A9D8F"/>
        <bgColor rgb="FF008080"/>
      </patternFill>
    </fill>
    <fill>
      <patternFill patternType="solid">
        <fgColor rgb="FFE07A2F"/>
        <bgColor rgb="FFFF8080"/>
      </patternFill>
    </fill>
    <fill>
      <patternFill patternType="solid">
        <fgColor rgb="FFF2F4F7"/>
        <bgColor rgb="FFFFFFFF"/>
      </patternFill>
    </fill>
    <fill>
      <patternFill patternType="solid">
        <fgColor rgb="FFE4E7EC"/>
        <bgColor rgb="FFF2F4F7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F3A5F"/>
      </bottom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 diagonalUp="false" diagonalDown="false">
      <left/>
      <right/>
      <top style="medium">
        <color rgb="FF1F3A5F"/>
      </top>
      <bottom/>
      <diagonal/>
    </border>
    <border diagonalUp="false" diagonalDown="false">
      <left/>
      <right/>
      <top/>
      <bottom style="thin">
        <color rgb="FFD0D5DD"/>
      </bottom>
      <diagonal/>
    </border>
    <border diagonalUp="false" diagonalDown="false">
      <left/>
      <right/>
      <top style="medium">
        <color rgb="FF1F3A5F"/>
      </top>
      <bottom style="thin">
        <color rgb="FFD0D5DD"/>
      </bottom>
      <diagonal/>
    </border>
    <border diagonalUp="false" diagonalDown="false">
      <left/>
      <right/>
      <top/>
      <bottom style="medium">
        <color rgb="FF2A9D8F"/>
      </bottom>
      <diagonal/>
    </border>
    <border diagonalUp="false" diagonalDown="false">
      <left/>
      <right/>
      <top/>
      <bottom style="medium">
        <color rgb="FFE07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7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7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7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7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5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5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8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25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5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FFFFFF"/>
      </font>
      <fill>
        <patternFill>
          <bgColor rgb="FF2A9D8F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E07A2F"/>
        </patternFill>
      </fill>
    </dxf>
    <dxf>
      <font>
        <name val="Arial"/>
        <charset val="1"/>
        <family val="0"/>
        <color rgb="FF027A48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27A48"/>
      <rgbColor rgb="FFD9D9D9"/>
      <rgbColor rgb="FF878787"/>
      <rgbColor rgb="FF9999FF"/>
      <rgbColor rgb="FF993366"/>
      <rgbColor rgb="FFFFF6D5"/>
      <rgbColor rgb="FFF2F4F7"/>
      <rgbColor rgb="FF660066"/>
      <rgbColor rgb="FFFF8080"/>
      <rgbColor rgb="FF0066CC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E7EC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4C430"/>
      <rgbColor rgb="FFFF9900"/>
      <rgbColor rgb="FFE07A2F"/>
      <rgbColor rgb="FF667085"/>
      <rgbColor rgb="FF969696"/>
      <rgbColor rgb="FF1F3A5F"/>
      <rgbColor rgb="FF2A9D8F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Registratiekosten per woningtype (excl. btw)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Vergelijking!F10</c:f>
              <c:strCache>
                <c:ptCount val="1"/>
                <c:pt idx="0">
                  <c:v>SWK totaal</c:v>
                </c:pt>
              </c:strCache>
            </c:strRef>
          </c:tx>
          <c:spPr>
            <a:solidFill>
              <a:srgbClr val="2a9d8f"/>
            </a:solidFill>
            <a:ln w="0">
              <a:solidFill>
                <a:srgbClr val="2a9d8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Vergelijking!$B$11:$B$25</c:f>
              <c:strCache>
                <c:ptCount val="15"/>
                <c:pt idx="0">
                  <c:v>Tussenwoning</c:v>
                </c:pt>
                <c:pt idx="1">
                  <c:v>Hoekwoning</c:v>
                </c:pt>
                <c:pt idx="2">
                  <c:v>Twee-onder-een-kap</c:v>
                </c:pt>
                <c:pt idx="3">
                  <c:v>Appartement</c:v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</c:strCache>
            </c:strRef>
          </c:cat>
          <c:val>
            <c:numRef>
              <c:f>Vergelijking!$F$11:$F$25</c:f>
              <c:numCache>
                <c:formatCode>"€ "#,##0;[RED]"-€ "#,##0;\-</c:formatCode>
                <c:ptCount val="15"/>
                <c:pt idx="0">
                  <c:v>9540</c:v>
                </c:pt>
                <c:pt idx="1">
                  <c:v>4770</c:v>
                </c:pt>
                <c:pt idx="2">
                  <c:v>3800</c:v>
                </c:pt>
                <c:pt idx="3">
                  <c:v>6950</c:v>
                </c:pt>
              </c:numCache>
            </c:numRef>
          </c:val>
        </c:ser>
        <c:ser>
          <c:idx val="1"/>
          <c:order val="1"/>
          <c:tx>
            <c:strRef>
              <c:f>Vergelijking!H10</c:f>
              <c:strCache>
                <c:ptCount val="1"/>
                <c:pt idx="0">
                  <c:v>Woningborg totaal</c:v>
                </c:pt>
              </c:strCache>
            </c:strRef>
          </c:tx>
          <c:spPr>
            <a:solidFill>
              <a:srgbClr val="e07a2f"/>
            </a:solidFill>
            <a:ln w="0">
              <a:solidFill>
                <a:srgbClr val="e07a2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Vergelijking!$B$11:$B$25</c:f>
              <c:strCache>
                <c:ptCount val="15"/>
                <c:pt idx="0">
                  <c:v>Tussenwoning</c:v>
                </c:pt>
                <c:pt idx="1">
                  <c:v>Hoekwoning</c:v>
                </c:pt>
                <c:pt idx="2">
                  <c:v>Twee-onder-een-kap</c:v>
                </c:pt>
                <c:pt idx="3">
                  <c:v>Appartement</c:v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</c:strCache>
            </c:strRef>
          </c:cat>
          <c:val>
            <c:numRef>
              <c:f>Vergelijking!$H$11:$H$25</c:f>
              <c:numCache>
                <c:formatCode>"€ "#,##0;[RED]"-€ "#,##0;\-</c:formatCode>
                <c:ptCount val="15"/>
                <c:pt idx="0">
                  <c:v>9900</c:v>
                </c:pt>
                <c:pt idx="1">
                  <c:v>4950</c:v>
                </c:pt>
                <c:pt idx="2">
                  <c:v>3900</c:v>
                </c:pt>
                <c:pt idx="3">
                  <c:v>7000</c:v>
                </c:pt>
              </c:numCache>
            </c:numRef>
          </c:val>
        </c:ser>
        <c:gapWidth val="150"/>
        <c:overlap val="0"/>
        <c:axId val="17935785"/>
        <c:axId val="23579810"/>
      </c:barChart>
      <c:catAx>
        <c:axId val="179357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579810"/>
        <c:crosses val="autoZero"/>
        <c:auto val="1"/>
        <c:lblAlgn val="ctr"/>
        <c:lblOffset val="100"/>
        <c:noMultiLvlLbl val="0"/>
      </c:catAx>
      <c:valAx>
        <c:axId val="235798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€ &quot;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93578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39</xdr:row>
      <xdr:rowOff>0</xdr:rowOff>
    </xdr:from>
    <xdr:to>
      <xdr:col>7</xdr:col>
      <xdr:colOff>730440</xdr:colOff>
      <xdr:row>54</xdr:row>
      <xdr:rowOff>22320</xdr:rowOff>
    </xdr:to>
    <xdr:graphicFrame>
      <xdr:nvGraphicFramePr>
        <xdr:cNvPr id="0" name="Chart 1"/>
        <xdr:cNvGraphicFramePr/>
      </xdr:nvGraphicFramePr>
      <xdr:xfrm>
        <a:off x="141120" y="807732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"/>
    <col collapsed="false" customWidth="true" hidden="false" outlineLevel="0" max="3" min="3" style="0" width="95"/>
  </cols>
  <sheetData>
    <row r="1" customFormat="false" ht="30" hidden="false" customHeight="true" outlineLevel="0" collapsed="false">
      <c r="A1" s="1"/>
      <c r="B1" s="2" t="s">
        <v>0</v>
      </c>
      <c r="C1" s="2"/>
      <c r="D1" s="2"/>
      <c r="E1" s="2"/>
      <c r="F1" s="2"/>
      <c r="G1" s="2"/>
      <c r="H1" s="2"/>
      <c r="I1" s="1"/>
    </row>
    <row r="2" customFormat="false" ht="18" hidden="false" customHeight="true" outlineLevel="0" collapsed="false">
      <c r="A2" s="1"/>
      <c r="B2" s="3" t="s">
        <v>1</v>
      </c>
      <c r="C2" s="3"/>
      <c r="D2" s="3"/>
      <c r="E2" s="3"/>
      <c r="F2" s="3"/>
      <c r="G2" s="3"/>
      <c r="H2" s="3"/>
      <c r="I2" s="1"/>
    </row>
    <row r="4" customFormat="false" ht="15" hidden="false" customHeight="false" outlineLevel="0" collapsed="false">
      <c r="B4" s="4" t="s">
        <v>2</v>
      </c>
      <c r="C4" s="5"/>
    </row>
    <row r="5" customFormat="false" ht="15" hidden="false" customHeight="false" outlineLevel="0" collapsed="false">
      <c r="B5" s="6" t="s">
        <v>3</v>
      </c>
      <c r="C5" s="7" t="s">
        <v>4</v>
      </c>
    </row>
    <row r="6" customFormat="false" ht="23.85" hidden="false" customHeight="false" outlineLevel="0" collapsed="false">
      <c r="B6" s="6" t="s">
        <v>5</v>
      </c>
      <c r="C6" s="7" t="s">
        <v>6</v>
      </c>
    </row>
    <row r="7" customFormat="false" ht="15" hidden="false" customHeight="false" outlineLevel="0" collapsed="false">
      <c r="B7" s="6" t="s">
        <v>7</v>
      </c>
      <c r="C7" s="7" t="s">
        <v>8</v>
      </c>
    </row>
    <row r="8" customFormat="false" ht="15" hidden="false" customHeight="false" outlineLevel="0" collapsed="false">
      <c r="B8" s="6"/>
      <c r="C8" s="7"/>
    </row>
    <row r="9" customFormat="false" ht="15" hidden="false" customHeight="false" outlineLevel="0" collapsed="false">
      <c r="B9" s="4" t="s">
        <v>9</v>
      </c>
      <c r="C9" s="5"/>
    </row>
    <row r="10" customFormat="false" ht="15" hidden="false" customHeight="false" outlineLevel="0" collapsed="false">
      <c r="B10" s="8"/>
      <c r="C10" s="7" t="s">
        <v>10</v>
      </c>
    </row>
    <row r="11" customFormat="false" ht="15" hidden="false" customHeight="false" outlineLevel="0" collapsed="false">
      <c r="B11" s="9"/>
      <c r="C11" s="7" t="s">
        <v>11</v>
      </c>
    </row>
    <row r="12" customFormat="false" ht="15" hidden="false" customHeight="false" outlineLevel="0" collapsed="false">
      <c r="B12" s="10"/>
      <c r="C12" s="7" t="s">
        <v>12</v>
      </c>
    </row>
    <row r="13" customFormat="false" ht="15" hidden="false" customHeight="false" outlineLevel="0" collapsed="false">
      <c r="B13" s="6"/>
      <c r="C13" s="7"/>
    </row>
    <row r="14" customFormat="false" ht="15" hidden="false" customHeight="false" outlineLevel="0" collapsed="false">
      <c r="B14" s="4" t="s">
        <v>13</v>
      </c>
      <c r="C14" s="5"/>
    </row>
    <row r="15" customFormat="false" ht="23.85" hidden="false" customHeight="false" outlineLevel="0" collapsed="false">
      <c r="B15" s="6" t="s">
        <v>14</v>
      </c>
      <c r="C15" s="7" t="s">
        <v>15</v>
      </c>
    </row>
    <row r="16" customFormat="false" ht="23.85" hidden="false" customHeight="false" outlineLevel="0" collapsed="false">
      <c r="B16" s="6" t="s">
        <v>14</v>
      </c>
      <c r="C16" s="7" t="s">
        <v>16</v>
      </c>
    </row>
    <row r="17" customFormat="false" ht="23.85" hidden="false" customHeight="false" outlineLevel="0" collapsed="false">
      <c r="B17" s="6" t="s">
        <v>14</v>
      </c>
      <c r="C17" s="7" t="s">
        <v>17</v>
      </c>
    </row>
    <row r="18" customFormat="false" ht="23.85" hidden="false" customHeight="false" outlineLevel="0" collapsed="false">
      <c r="B18" s="6" t="s">
        <v>14</v>
      </c>
      <c r="C18" s="7" t="s">
        <v>18</v>
      </c>
    </row>
  </sheetData>
  <mergeCells count="2">
    <mergeCell ref="B1:H1"/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true"/>
  </sheetPr>
  <dimension ref="A1:K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10"/>
    <col collapsed="false" customWidth="true" hidden="false" outlineLevel="0" max="4" min="4" style="0" width="18"/>
    <col collapsed="false" customWidth="true" hidden="false" outlineLevel="0" max="10" min="5" style="0" width="16"/>
    <col collapsed="false" customWidth="true" hidden="false" outlineLevel="0" max="11" min="11" style="0" width="14"/>
  </cols>
  <sheetData>
    <row r="1" customFormat="false" ht="30" hidden="false" customHeight="true" outlineLevel="0" collapsed="false">
      <c r="A1" s="1"/>
      <c r="B1" s="2" t="s">
        <v>19</v>
      </c>
      <c r="C1" s="2"/>
      <c r="D1" s="2"/>
      <c r="E1" s="2"/>
      <c r="F1" s="2"/>
      <c r="G1" s="2"/>
      <c r="H1" s="2"/>
      <c r="I1" s="2"/>
      <c r="J1" s="2"/>
      <c r="K1" s="1"/>
    </row>
    <row r="2" customFormat="false" ht="18" hidden="false" customHeight="true" outlineLevel="0" collapsed="false">
      <c r="A2" s="1"/>
      <c r="B2" s="3" t="str">
        <f aca="false">"Project: "&amp;Project!C5&amp;"   |   Tariefjaar "&amp;Project!C8&amp;"   |   "&amp;Project!C7</f>
        <v>Project: Voorbeeldproject De Hoven   |   Tariefjaar 2026   |   2026-10-22</v>
      </c>
      <c r="C2" s="3"/>
      <c r="D2" s="3"/>
      <c r="E2" s="3"/>
      <c r="F2" s="3"/>
      <c r="G2" s="3"/>
      <c r="H2" s="3"/>
      <c r="I2" s="3"/>
      <c r="J2" s="3"/>
      <c r="K2" s="1"/>
    </row>
    <row r="4" customFormat="false" ht="15" hidden="false" customHeight="false" outlineLevel="0" collapsed="false">
      <c r="B4" s="11" t="s">
        <v>20</v>
      </c>
      <c r="C4" s="11"/>
      <c r="D4" s="11"/>
      <c r="E4" s="12" t="s">
        <v>21</v>
      </c>
      <c r="F4" s="12"/>
      <c r="G4" s="13" t="s">
        <v>22</v>
      </c>
      <c r="H4" s="13"/>
      <c r="I4" s="13" t="s">
        <v>23</v>
      </c>
      <c r="J4" s="13"/>
      <c r="K4" s="13"/>
    </row>
    <row r="5" customFormat="false" ht="15" hidden="false" customHeight="false" outlineLevel="0" collapsed="false">
      <c r="B5" s="14" t="n">
        <f aca="false">E34</f>
        <v>34134.1</v>
      </c>
      <c r="C5" s="14"/>
      <c r="D5" s="14"/>
      <c r="E5" s="15" t="n">
        <f aca="false">G34</f>
        <v>34509.2</v>
      </c>
      <c r="F5" s="15"/>
      <c r="G5" s="16" t="n">
        <f aca="false">ABS(E34-G34)</f>
        <v>375.099999999999</v>
      </c>
      <c r="H5" s="16"/>
      <c r="I5" s="16" t="str">
        <f aca="false">IF(E34=G34,"Gelijk",IF(E34&lt;G34,"SWK","Woningborg"))</f>
        <v>SWK</v>
      </c>
      <c r="J5" s="16"/>
      <c r="K5" s="16"/>
    </row>
    <row r="6" customFormat="false" ht="15" hidden="false" customHeight="false" outlineLevel="0" collapsed="false">
      <c r="B6" s="14"/>
      <c r="C6" s="14"/>
      <c r="D6" s="14"/>
      <c r="E6" s="15"/>
      <c r="F6" s="15"/>
      <c r="G6" s="16"/>
      <c r="H6" s="16"/>
      <c r="I6" s="16"/>
      <c r="J6" s="16"/>
      <c r="K6" s="16"/>
    </row>
    <row r="7" customFormat="false" ht="15" hidden="false" customHeight="false" outlineLevel="0" collapsed="false">
      <c r="G7" s="17" t="str">
        <f aca="false">IF(MIN(E34,G34)=0,"",TEXT(ABS(E34-G34)/MAX(E34,G34),"0.0%")&amp;" goedkoper")</f>
        <v>1.1% goedkoper</v>
      </c>
      <c r="H7" s="17"/>
    </row>
    <row r="9" customFormat="false" ht="15" hidden="false" customHeight="false" outlineLevel="0" collapsed="false">
      <c r="B9" s="4" t="s">
        <v>24</v>
      </c>
      <c r="C9" s="5"/>
      <c r="D9" s="5"/>
      <c r="E9" s="5"/>
      <c r="F9" s="5"/>
      <c r="G9" s="5"/>
      <c r="H9" s="5"/>
      <c r="I9" s="5"/>
      <c r="J9" s="5"/>
    </row>
    <row r="10" customFormat="false" ht="31.5" hidden="false" customHeight="true" outlineLevel="0" collapsed="false">
      <c r="B10" s="18" t="s">
        <v>25</v>
      </c>
      <c r="C10" s="18" t="s">
        <v>26</v>
      </c>
      <c r="D10" s="18" t="s">
        <v>27</v>
      </c>
      <c r="E10" s="19" t="s">
        <v>28</v>
      </c>
      <c r="F10" s="19" t="s">
        <v>29</v>
      </c>
      <c r="G10" s="20" t="s">
        <v>30</v>
      </c>
      <c r="H10" s="20" t="s">
        <v>31</v>
      </c>
      <c r="I10" s="18" t="s">
        <v>32</v>
      </c>
      <c r="J10" s="18" t="s">
        <v>23</v>
      </c>
      <c r="K10" s="21"/>
    </row>
    <row r="11" customFormat="false" ht="15" hidden="false" customHeight="false" outlineLevel="0" collapsed="false">
      <c r="B11" s="22" t="str">
        <f aca="false">IF(Project!B14="","",Project!B14)</f>
        <v>Tussenwoning</v>
      </c>
      <c r="C11" s="23" t="n">
        <f aca="false">IF(B11="","",Project!C14)</f>
        <v>12</v>
      </c>
      <c r="D11" s="24" t="n">
        <f aca="false">IF(B11="","",Project!D14)</f>
        <v>365000</v>
      </c>
      <c r="E11" s="25" t="n">
        <f aca="false">IF(OR(Project!$B14="",Project!$D14=""),"",IFERROR(INDEX('Tarieven SWK'!$D$8:$D$22,MATCH(Project!$D14,'Tarieven SWK'!$B$8:$B$22,1))+N(INDEX('Tarieven SWK'!$E$8:$E$22,MATCH(Project!$D14,'Tarieven SWK'!$B$8:$B$22,1)))*Project!$D14,0))</f>
        <v>795</v>
      </c>
      <c r="F11" s="26" t="n">
        <f aca="false">IF(B11="","",N(E11)*N(C11))</f>
        <v>9540</v>
      </c>
      <c r="G11" s="25" t="n">
        <f aca="false">IF(OR(Project!$B14="",Project!$D14=""),"",IFERROR(INDEX('Tarieven Woningborg'!$D$8:$D$22,MATCH(Project!$D14,'Tarieven Woningborg'!$B$8:$B$22,1))+N(INDEX('Tarieven Woningborg'!$E$8:$E$22,MATCH(Project!$D14,'Tarieven Woningborg'!$B$8:$B$22,1)))*Project!$D14,0))</f>
        <v>825</v>
      </c>
      <c r="H11" s="26" t="n">
        <f aca="false">IF(B11="","",N(G11)*N(C11))</f>
        <v>9900</v>
      </c>
      <c r="I11" s="26" t="n">
        <f aca="false">IF(B11="","",H11-F11)</f>
        <v>360</v>
      </c>
      <c r="J11" s="27" t="str">
        <f aca="false">IF(B11="","",IF(H11=F11,"Gelijk",IF(F11&lt;H11,"SWK","Woningborg")))</f>
        <v>SWK</v>
      </c>
    </row>
    <row r="12" customFormat="false" ht="15" hidden="false" customHeight="false" outlineLevel="0" collapsed="false">
      <c r="B12" s="28" t="str">
        <f aca="false">IF(Project!B15="","",Project!B15)</f>
        <v>Hoekwoning</v>
      </c>
      <c r="C12" s="29" t="n">
        <f aca="false">IF(B12="","",Project!C15)</f>
        <v>6</v>
      </c>
      <c r="D12" s="30" t="n">
        <f aca="false">IF(B12="","",Project!D15)</f>
        <v>395000</v>
      </c>
      <c r="E12" s="31" t="n">
        <f aca="false">IF(OR(Project!$B15="",Project!$D15=""),"",IFERROR(INDEX('Tarieven SWK'!$D$8:$D$22,MATCH(Project!$D15,'Tarieven SWK'!$B$8:$B$22,1))+N(INDEX('Tarieven SWK'!$E$8:$E$22,MATCH(Project!$D15,'Tarieven SWK'!$B$8:$B$22,1)))*Project!$D15,0))</f>
        <v>795</v>
      </c>
      <c r="F12" s="32" t="n">
        <f aca="false">IF(B12="","",N(E12)*N(C12))</f>
        <v>4770</v>
      </c>
      <c r="G12" s="31" t="n">
        <f aca="false">IF(OR(Project!$B15="",Project!$D15=""),"",IFERROR(INDEX('Tarieven Woningborg'!$D$8:$D$22,MATCH(Project!$D15,'Tarieven Woningborg'!$B$8:$B$22,1))+N(INDEX('Tarieven Woningborg'!$E$8:$E$22,MATCH(Project!$D15,'Tarieven Woningborg'!$B$8:$B$22,1)))*Project!$D15,0))</f>
        <v>825</v>
      </c>
      <c r="H12" s="32" t="n">
        <f aca="false">IF(B12="","",N(G12)*N(C12))</f>
        <v>4950</v>
      </c>
      <c r="I12" s="32" t="n">
        <f aca="false">IF(B12="","",H12-F12)</f>
        <v>180</v>
      </c>
      <c r="J12" s="33" t="str">
        <f aca="false">IF(B12="","",IF(H12=F12,"Gelijk",IF(F12&lt;H12,"SWK","Woningborg")))</f>
        <v>SWK</v>
      </c>
    </row>
    <row r="13" customFormat="false" ht="15" hidden="false" customHeight="false" outlineLevel="0" collapsed="false">
      <c r="B13" s="22" t="str">
        <f aca="false">IF(Project!B16="","",Project!B16)</f>
        <v>Twee-onder-een-kap</v>
      </c>
      <c r="C13" s="23" t="n">
        <f aca="false">IF(B13="","",Project!C16)</f>
        <v>4</v>
      </c>
      <c r="D13" s="24" t="n">
        <f aca="false">IF(B13="","",Project!D16)</f>
        <v>525000</v>
      </c>
      <c r="E13" s="25" t="n">
        <f aca="false">IF(OR(Project!$B16="",Project!$D16=""),"",IFERROR(INDEX('Tarieven SWK'!$D$8:$D$22,MATCH(Project!$D16,'Tarieven SWK'!$B$8:$B$22,1))+N(INDEX('Tarieven SWK'!$E$8:$E$22,MATCH(Project!$D16,'Tarieven SWK'!$B$8:$B$22,1)))*Project!$D16,0))</f>
        <v>950</v>
      </c>
      <c r="F13" s="26" t="n">
        <f aca="false">IF(B13="","",N(E13)*N(C13))</f>
        <v>3800</v>
      </c>
      <c r="G13" s="25" t="n">
        <f aca="false">IF(OR(Project!$B16="",Project!$D16=""),"",IFERROR(INDEX('Tarieven Woningborg'!$D$8:$D$22,MATCH(Project!$D16,'Tarieven Woningborg'!$B$8:$B$22,1))+N(INDEX('Tarieven Woningborg'!$E$8:$E$22,MATCH(Project!$D16,'Tarieven Woningborg'!$B$8:$B$22,1)))*Project!$D16,0))</f>
        <v>975</v>
      </c>
      <c r="H13" s="26" t="n">
        <f aca="false">IF(B13="","",N(G13)*N(C13))</f>
        <v>3900</v>
      </c>
      <c r="I13" s="26" t="n">
        <f aca="false">IF(B13="","",H13-F13)</f>
        <v>100</v>
      </c>
      <c r="J13" s="27" t="str">
        <f aca="false">IF(B13="","",IF(H13=F13,"Gelijk",IF(F13&lt;H13,"SWK","Woningborg")))</f>
        <v>SWK</v>
      </c>
    </row>
    <row r="14" customFormat="false" ht="15" hidden="false" customHeight="false" outlineLevel="0" collapsed="false">
      <c r="B14" s="28" t="str">
        <f aca="false">IF(Project!B17="","",Project!B17)</f>
        <v>Appartement</v>
      </c>
      <c r="C14" s="29" t="n">
        <f aca="false">IF(B14="","",Project!C17)</f>
        <v>10</v>
      </c>
      <c r="D14" s="30" t="n">
        <f aca="false">IF(B14="","",Project!D17)</f>
        <v>295000</v>
      </c>
      <c r="E14" s="31" t="n">
        <f aca="false">IF(OR(Project!$B17="",Project!$D17=""),"",IFERROR(INDEX('Tarieven SWK'!$D$8:$D$22,MATCH(Project!$D17,'Tarieven SWK'!$B$8:$B$22,1))+N(INDEX('Tarieven SWK'!$E$8:$E$22,MATCH(Project!$D17,'Tarieven SWK'!$B$8:$B$22,1)))*Project!$D17,0))</f>
        <v>695</v>
      </c>
      <c r="F14" s="32" t="n">
        <f aca="false">IF(B14="","",N(E14)*N(C14))</f>
        <v>6950</v>
      </c>
      <c r="G14" s="31" t="n">
        <f aca="false">IF(OR(Project!$B17="",Project!$D17=""),"",IFERROR(INDEX('Tarieven Woningborg'!$D$8:$D$22,MATCH(Project!$D17,'Tarieven Woningborg'!$B$8:$B$22,1))+N(INDEX('Tarieven Woningborg'!$E$8:$E$22,MATCH(Project!$D17,'Tarieven Woningborg'!$B$8:$B$22,1)))*Project!$D17,0))</f>
        <v>700</v>
      </c>
      <c r="H14" s="32" t="n">
        <f aca="false">IF(B14="","",N(G14)*N(C14))</f>
        <v>7000</v>
      </c>
      <c r="I14" s="32" t="n">
        <f aca="false">IF(B14="","",H14-F14)</f>
        <v>50</v>
      </c>
      <c r="J14" s="33" t="str">
        <f aca="false">IF(B14="","",IF(H14=F14,"Gelijk",IF(F14&lt;H14,"SWK","Woningborg")))</f>
        <v>SWK</v>
      </c>
    </row>
    <row r="15" customFormat="false" ht="15" hidden="false" customHeight="false" outlineLevel="0" collapsed="false">
      <c r="B15" s="22" t="str">
        <f aca="false">IF(Project!B18="","",Project!B18)</f>
        <v/>
      </c>
      <c r="C15" s="23" t="str">
        <f aca="false">IF(B15="","",Project!C18)</f>
        <v/>
      </c>
      <c r="D15" s="24" t="str">
        <f aca="false">IF(B15="","",Project!D18)</f>
        <v/>
      </c>
      <c r="E15" s="25" t="str">
        <f aca="false">IF(OR(Project!$B18="",Project!$D18=""),"",IFERROR(INDEX('Tarieven SWK'!$D$8:$D$22,MATCH(Project!$D18,'Tarieven SWK'!$B$8:$B$22,1))+N(INDEX('Tarieven SWK'!$E$8:$E$22,MATCH(Project!$D18,'Tarieven SWK'!$B$8:$B$22,1)))*Project!$D18,0))</f>
        <v/>
      </c>
      <c r="F15" s="26" t="str">
        <f aca="false">IF(B15="","",N(E15)*N(C15))</f>
        <v/>
      </c>
      <c r="G15" s="25" t="str">
        <f aca="false">IF(OR(Project!$B18="",Project!$D18=""),"",IFERROR(INDEX('Tarieven Woningborg'!$D$8:$D$22,MATCH(Project!$D18,'Tarieven Woningborg'!$B$8:$B$22,1))+N(INDEX('Tarieven Woningborg'!$E$8:$E$22,MATCH(Project!$D18,'Tarieven Woningborg'!$B$8:$B$22,1)))*Project!$D18,0))</f>
        <v/>
      </c>
      <c r="H15" s="26" t="str">
        <f aca="false">IF(B15="","",N(G15)*N(C15))</f>
        <v/>
      </c>
      <c r="I15" s="26" t="str">
        <f aca="false">IF(B15="","",H15-F15)</f>
        <v/>
      </c>
      <c r="J15" s="27" t="str">
        <f aca="false">IF(B15="","",IF(H15=F15,"Gelijk",IF(F15&lt;H15,"SWK","Woningborg")))</f>
        <v/>
      </c>
    </row>
    <row r="16" customFormat="false" ht="15" hidden="false" customHeight="false" outlineLevel="0" collapsed="false">
      <c r="B16" s="28" t="str">
        <f aca="false">IF(Project!B19="","",Project!B19)</f>
        <v/>
      </c>
      <c r="C16" s="29" t="str">
        <f aca="false">IF(B16="","",Project!C19)</f>
        <v/>
      </c>
      <c r="D16" s="30" t="str">
        <f aca="false">IF(B16="","",Project!D19)</f>
        <v/>
      </c>
      <c r="E16" s="31" t="str">
        <f aca="false">IF(OR(Project!$B19="",Project!$D19=""),"",IFERROR(INDEX('Tarieven SWK'!$D$8:$D$22,MATCH(Project!$D19,'Tarieven SWK'!$B$8:$B$22,1))+N(INDEX('Tarieven SWK'!$E$8:$E$22,MATCH(Project!$D19,'Tarieven SWK'!$B$8:$B$22,1)))*Project!$D19,0))</f>
        <v/>
      </c>
      <c r="F16" s="32" t="str">
        <f aca="false">IF(B16="","",N(E16)*N(C16))</f>
        <v/>
      </c>
      <c r="G16" s="31" t="str">
        <f aca="false">IF(OR(Project!$B19="",Project!$D19=""),"",IFERROR(INDEX('Tarieven Woningborg'!$D$8:$D$22,MATCH(Project!$D19,'Tarieven Woningborg'!$B$8:$B$22,1))+N(INDEX('Tarieven Woningborg'!$E$8:$E$22,MATCH(Project!$D19,'Tarieven Woningborg'!$B$8:$B$22,1)))*Project!$D19,0))</f>
        <v/>
      </c>
      <c r="H16" s="32" t="str">
        <f aca="false">IF(B16="","",N(G16)*N(C16))</f>
        <v/>
      </c>
      <c r="I16" s="32" t="str">
        <f aca="false">IF(B16="","",H16-F16)</f>
        <v/>
      </c>
      <c r="J16" s="33" t="str">
        <f aca="false">IF(B16="","",IF(H16=F16,"Gelijk",IF(F16&lt;H16,"SWK","Woningborg")))</f>
        <v/>
      </c>
    </row>
    <row r="17" customFormat="false" ht="15" hidden="false" customHeight="false" outlineLevel="0" collapsed="false">
      <c r="B17" s="22" t="str">
        <f aca="false">IF(Project!B20="","",Project!B20)</f>
        <v/>
      </c>
      <c r="C17" s="23" t="str">
        <f aca="false">IF(B17="","",Project!C20)</f>
        <v/>
      </c>
      <c r="D17" s="24" t="str">
        <f aca="false">IF(B17="","",Project!D20)</f>
        <v/>
      </c>
      <c r="E17" s="25" t="str">
        <f aca="false">IF(OR(Project!$B20="",Project!$D20=""),"",IFERROR(INDEX('Tarieven SWK'!$D$8:$D$22,MATCH(Project!$D20,'Tarieven SWK'!$B$8:$B$22,1))+N(INDEX('Tarieven SWK'!$E$8:$E$22,MATCH(Project!$D20,'Tarieven SWK'!$B$8:$B$22,1)))*Project!$D20,0))</f>
        <v/>
      </c>
      <c r="F17" s="26" t="str">
        <f aca="false">IF(B17="","",N(E17)*N(C17))</f>
        <v/>
      </c>
      <c r="G17" s="25" t="str">
        <f aca="false">IF(OR(Project!$B20="",Project!$D20=""),"",IFERROR(INDEX('Tarieven Woningborg'!$D$8:$D$22,MATCH(Project!$D20,'Tarieven Woningborg'!$B$8:$B$22,1))+N(INDEX('Tarieven Woningborg'!$E$8:$E$22,MATCH(Project!$D20,'Tarieven Woningborg'!$B$8:$B$22,1)))*Project!$D20,0))</f>
        <v/>
      </c>
      <c r="H17" s="26" t="str">
        <f aca="false">IF(B17="","",N(G17)*N(C17))</f>
        <v/>
      </c>
      <c r="I17" s="26" t="str">
        <f aca="false">IF(B17="","",H17-F17)</f>
        <v/>
      </c>
      <c r="J17" s="27" t="str">
        <f aca="false">IF(B17="","",IF(H17=F17,"Gelijk",IF(F17&lt;H17,"SWK","Woningborg")))</f>
        <v/>
      </c>
    </row>
    <row r="18" customFormat="false" ht="15" hidden="false" customHeight="false" outlineLevel="0" collapsed="false">
      <c r="B18" s="28" t="str">
        <f aca="false">IF(Project!B21="","",Project!B21)</f>
        <v/>
      </c>
      <c r="C18" s="29" t="str">
        <f aca="false">IF(B18="","",Project!C21)</f>
        <v/>
      </c>
      <c r="D18" s="30" t="str">
        <f aca="false">IF(B18="","",Project!D21)</f>
        <v/>
      </c>
      <c r="E18" s="31" t="str">
        <f aca="false">IF(OR(Project!$B21="",Project!$D21=""),"",IFERROR(INDEX('Tarieven SWK'!$D$8:$D$22,MATCH(Project!$D21,'Tarieven SWK'!$B$8:$B$22,1))+N(INDEX('Tarieven SWK'!$E$8:$E$22,MATCH(Project!$D21,'Tarieven SWK'!$B$8:$B$22,1)))*Project!$D21,0))</f>
        <v/>
      </c>
      <c r="F18" s="32" t="str">
        <f aca="false">IF(B18="","",N(E18)*N(C18))</f>
        <v/>
      </c>
      <c r="G18" s="31" t="str">
        <f aca="false">IF(OR(Project!$B21="",Project!$D21=""),"",IFERROR(INDEX('Tarieven Woningborg'!$D$8:$D$22,MATCH(Project!$D21,'Tarieven Woningborg'!$B$8:$B$22,1))+N(INDEX('Tarieven Woningborg'!$E$8:$E$22,MATCH(Project!$D21,'Tarieven Woningborg'!$B$8:$B$22,1)))*Project!$D21,0))</f>
        <v/>
      </c>
      <c r="H18" s="32" t="str">
        <f aca="false">IF(B18="","",N(G18)*N(C18))</f>
        <v/>
      </c>
      <c r="I18" s="32" t="str">
        <f aca="false">IF(B18="","",H18-F18)</f>
        <v/>
      </c>
      <c r="J18" s="33" t="str">
        <f aca="false">IF(B18="","",IF(H18=F18,"Gelijk",IF(F18&lt;H18,"SWK","Woningborg")))</f>
        <v/>
      </c>
    </row>
    <row r="19" customFormat="false" ht="15" hidden="false" customHeight="false" outlineLevel="0" collapsed="false">
      <c r="B19" s="22" t="str">
        <f aca="false">IF(Project!B22="","",Project!B22)</f>
        <v/>
      </c>
      <c r="C19" s="23" t="str">
        <f aca="false">IF(B19="","",Project!C22)</f>
        <v/>
      </c>
      <c r="D19" s="24" t="str">
        <f aca="false">IF(B19="","",Project!D22)</f>
        <v/>
      </c>
      <c r="E19" s="25" t="str">
        <f aca="false">IF(OR(Project!$B22="",Project!$D22=""),"",IFERROR(INDEX('Tarieven SWK'!$D$8:$D$22,MATCH(Project!$D22,'Tarieven SWK'!$B$8:$B$22,1))+N(INDEX('Tarieven SWK'!$E$8:$E$22,MATCH(Project!$D22,'Tarieven SWK'!$B$8:$B$22,1)))*Project!$D22,0))</f>
        <v/>
      </c>
      <c r="F19" s="26" t="str">
        <f aca="false">IF(B19="","",N(E19)*N(C19))</f>
        <v/>
      </c>
      <c r="G19" s="25" t="str">
        <f aca="false">IF(OR(Project!$B22="",Project!$D22=""),"",IFERROR(INDEX('Tarieven Woningborg'!$D$8:$D$22,MATCH(Project!$D22,'Tarieven Woningborg'!$B$8:$B$22,1))+N(INDEX('Tarieven Woningborg'!$E$8:$E$22,MATCH(Project!$D22,'Tarieven Woningborg'!$B$8:$B$22,1)))*Project!$D22,0))</f>
        <v/>
      </c>
      <c r="H19" s="26" t="str">
        <f aca="false">IF(B19="","",N(G19)*N(C19))</f>
        <v/>
      </c>
      <c r="I19" s="26" t="str">
        <f aca="false">IF(B19="","",H19-F19)</f>
        <v/>
      </c>
      <c r="J19" s="27" t="str">
        <f aca="false">IF(B19="","",IF(H19=F19,"Gelijk",IF(F19&lt;H19,"SWK","Woningborg")))</f>
        <v/>
      </c>
    </row>
    <row r="20" customFormat="false" ht="15" hidden="false" customHeight="false" outlineLevel="0" collapsed="false">
      <c r="B20" s="28" t="str">
        <f aca="false">IF(Project!B23="","",Project!B23)</f>
        <v/>
      </c>
      <c r="C20" s="29" t="str">
        <f aca="false">IF(B20="","",Project!C23)</f>
        <v/>
      </c>
      <c r="D20" s="30" t="str">
        <f aca="false">IF(B20="","",Project!D23)</f>
        <v/>
      </c>
      <c r="E20" s="31" t="str">
        <f aca="false">IF(OR(Project!$B23="",Project!$D23=""),"",IFERROR(INDEX('Tarieven SWK'!$D$8:$D$22,MATCH(Project!$D23,'Tarieven SWK'!$B$8:$B$22,1))+N(INDEX('Tarieven SWK'!$E$8:$E$22,MATCH(Project!$D23,'Tarieven SWK'!$B$8:$B$22,1)))*Project!$D23,0))</f>
        <v/>
      </c>
      <c r="F20" s="32" t="str">
        <f aca="false">IF(B20="","",N(E20)*N(C20))</f>
        <v/>
      </c>
      <c r="G20" s="31" t="str">
        <f aca="false">IF(OR(Project!$B23="",Project!$D23=""),"",IFERROR(INDEX('Tarieven Woningborg'!$D$8:$D$22,MATCH(Project!$D23,'Tarieven Woningborg'!$B$8:$B$22,1))+N(INDEX('Tarieven Woningborg'!$E$8:$E$22,MATCH(Project!$D23,'Tarieven Woningborg'!$B$8:$B$22,1)))*Project!$D23,0))</f>
        <v/>
      </c>
      <c r="H20" s="32" t="str">
        <f aca="false">IF(B20="","",N(G20)*N(C20))</f>
        <v/>
      </c>
      <c r="I20" s="32" t="str">
        <f aca="false">IF(B20="","",H20-F20)</f>
        <v/>
      </c>
      <c r="J20" s="33" t="str">
        <f aca="false">IF(B20="","",IF(H20=F20,"Gelijk",IF(F20&lt;H20,"SWK","Woningborg")))</f>
        <v/>
      </c>
    </row>
    <row r="21" customFormat="false" ht="15" hidden="false" customHeight="false" outlineLevel="0" collapsed="false">
      <c r="B21" s="22" t="str">
        <f aca="false">IF(Project!B24="","",Project!B24)</f>
        <v/>
      </c>
      <c r="C21" s="23" t="str">
        <f aca="false">IF(B21="","",Project!C24)</f>
        <v/>
      </c>
      <c r="D21" s="24" t="str">
        <f aca="false">IF(B21="","",Project!D24)</f>
        <v/>
      </c>
      <c r="E21" s="25" t="str">
        <f aca="false">IF(OR(Project!$B24="",Project!$D24=""),"",IFERROR(INDEX('Tarieven SWK'!$D$8:$D$22,MATCH(Project!$D24,'Tarieven SWK'!$B$8:$B$22,1))+N(INDEX('Tarieven SWK'!$E$8:$E$22,MATCH(Project!$D24,'Tarieven SWK'!$B$8:$B$22,1)))*Project!$D24,0))</f>
        <v/>
      </c>
      <c r="F21" s="26" t="str">
        <f aca="false">IF(B21="","",N(E21)*N(C21))</f>
        <v/>
      </c>
      <c r="G21" s="25" t="str">
        <f aca="false">IF(OR(Project!$B24="",Project!$D24=""),"",IFERROR(INDEX('Tarieven Woningborg'!$D$8:$D$22,MATCH(Project!$D24,'Tarieven Woningborg'!$B$8:$B$22,1))+N(INDEX('Tarieven Woningborg'!$E$8:$E$22,MATCH(Project!$D24,'Tarieven Woningborg'!$B$8:$B$22,1)))*Project!$D24,0))</f>
        <v/>
      </c>
      <c r="H21" s="26" t="str">
        <f aca="false">IF(B21="","",N(G21)*N(C21))</f>
        <v/>
      </c>
      <c r="I21" s="26" t="str">
        <f aca="false">IF(B21="","",H21-F21)</f>
        <v/>
      </c>
      <c r="J21" s="27" t="str">
        <f aca="false">IF(B21="","",IF(H21=F21,"Gelijk",IF(F21&lt;H21,"SWK","Woningborg")))</f>
        <v/>
      </c>
    </row>
    <row r="22" customFormat="false" ht="15" hidden="false" customHeight="false" outlineLevel="0" collapsed="false">
      <c r="B22" s="28" t="str">
        <f aca="false">IF(Project!B25="","",Project!B25)</f>
        <v/>
      </c>
      <c r="C22" s="29" t="str">
        <f aca="false">IF(B22="","",Project!C25)</f>
        <v/>
      </c>
      <c r="D22" s="30" t="str">
        <f aca="false">IF(B22="","",Project!D25)</f>
        <v/>
      </c>
      <c r="E22" s="31" t="str">
        <f aca="false">IF(OR(Project!$B25="",Project!$D25=""),"",IFERROR(INDEX('Tarieven SWK'!$D$8:$D$22,MATCH(Project!$D25,'Tarieven SWK'!$B$8:$B$22,1))+N(INDEX('Tarieven SWK'!$E$8:$E$22,MATCH(Project!$D25,'Tarieven SWK'!$B$8:$B$22,1)))*Project!$D25,0))</f>
        <v/>
      </c>
      <c r="F22" s="32" t="str">
        <f aca="false">IF(B22="","",N(E22)*N(C22))</f>
        <v/>
      </c>
      <c r="G22" s="31" t="str">
        <f aca="false">IF(OR(Project!$B25="",Project!$D25=""),"",IFERROR(INDEX('Tarieven Woningborg'!$D$8:$D$22,MATCH(Project!$D25,'Tarieven Woningborg'!$B$8:$B$22,1))+N(INDEX('Tarieven Woningborg'!$E$8:$E$22,MATCH(Project!$D25,'Tarieven Woningborg'!$B$8:$B$22,1)))*Project!$D25,0))</f>
        <v/>
      </c>
      <c r="H22" s="32" t="str">
        <f aca="false">IF(B22="","",N(G22)*N(C22))</f>
        <v/>
      </c>
      <c r="I22" s="32" t="str">
        <f aca="false">IF(B22="","",H22-F22)</f>
        <v/>
      </c>
      <c r="J22" s="33" t="str">
        <f aca="false">IF(B22="","",IF(H22=F22,"Gelijk",IF(F22&lt;H22,"SWK","Woningborg")))</f>
        <v/>
      </c>
    </row>
    <row r="23" customFormat="false" ht="15" hidden="false" customHeight="false" outlineLevel="0" collapsed="false">
      <c r="B23" s="22" t="str">
        <f aca="false">IF(Project!B26="","",Project!B26)</f>
        <v/>
      </c>
      <c r="C23" s="23" t="str">
        <f aca="false">IF(B23="","",Project!C26)</f>
        <v/>
      </c>
      <c r="D23" s="24" t="str">
        <f aca="false">IF(B23="","",Project!D26)</f>
        <v/>
      </c>
      <c r="E23" s="25" t="str">
        <f aca="false">IF(OR(Project!$B26="",Project!$D26=""),"",IFERROR(INDEX('Tarieven SWK'!$D$8:$D$22,MATCH(Project!$D26,'Tarieven SWK'!$B$8:$B$22,1))+N(INDEX('Tarieven SWK'!$E$8:$E$22,MATCH(Project!$D26,'Tarieven SWK'!$B$8:$B$22,1)))*Project!$D26,0))</f>
        <v/>
      </c>
      <c r="F23" s="26" t="str">
        <f aca="false">IF(B23="","",N(E23)*N(C23))</f>
        <v/>
      </c>
      <c r="G23" s="25" t="str">
        <f aca="false">IF(OR(Project!$B26="",Project!$D26=""),"",IFERROR(INDEX('Tarieven Woningborg'!$D$8:$D$22,MATCH(Project!$D26,'Tarieven Woningborg'!$B$8:$B$22,1))+N(INDEX('Tarieven Woningborg'!$E$8:$E$22,MATCH(Project!$D26,'Tarieven Woningborg'!$B$8:$B$22,1)))*Project!$D26,0))</f>
        <v/>
      </c>
      <c r="H23" s="26" t="str">
        <f aca="false">IF(B23="","",N(G23)*N(C23))</f>
        <v/>
      </c>
      <c r="I23" s="26" t="str">
        <f aca="false">IF(B23="","",H23-F23)</f>
        <v/>
      </c>
      <c r="J23" s="27" t="str">
        <f aca="false">IF(B23="","",IF(H23=F23,"Gelijk",IF(F23&lt;H23,"SWK","Woningborg")))</f>
        <v/>
      </c>
    </row>
    <row r="24" customFormat="false" ht="15" hidden="false" customHeight="false" outlineLevel="0" collapsed="false">
      <c r="B24" s="28" t="str">
        <f aca="false">IF(Project!B27="","",Project!B27)</f>
        <v/>
      </c>
      <c r="C24" s="29" t="str">
        <f aca="false">IF(B24="","",Project!C27)</f>
        <v/>
      </c>
      <c r="D24" s="30" t="str">
        <f aca="false">IF(B24="","",Project!D27)</f>
        <v/>
      </c>
      <c r="E24" s="31" t="str">
        <f aca="false">IF(OR(Project!$B27="",Project!$D27=""),"",IFERROR(INDEX('Tarieven SWK'!$D$8:$D$22,MATCH(Project!$D27,'Tarieven SWK'!$B$8:$B$22,1))+N(INDEX('Tarieven SWK'!$E$8:$E$22,MATCH(Project!$D27,'Tarieven SWK'!$B$8:$B$22,1)))*Project!$D27,0))</f>
        <v/>
      </c>
      <c r="F24" s="32" t="str">
        <f aca="false">IF(B24="","",N(E24)*N(C24))</f>
        <v/>
      </c>
      <c r="G24" s="31" t="str">
        <f aca="false">IF(OR(Project!$B27="",Project!$D27=""),"",IFERROR(INDEX('Tarieven Woningborg'!$D$8:$D$22,MATCH(Project!$D27,'Tarieven Woningborg'!$B$8:$B$22,1))+N(INDEX('Tarieven Woningborg'!$E$8:$E$22,MATCH(Project!$D27,'Tarieven Woningborg'!$B$8:$B$22,1)))*Project!$D27,0))</f>
        <v/>
      </c>
      <c r="H24" s="32" t="str">
        <f aca="false">IF(B24="","",N(G24)*N(C24))</f>
        <v/>
      </c>
      <c r="I24" s="32" t="str">
        <f aca="false">IF(B24="","",H24-F24)</f>
        <v/>
      </c>
      <c r="J24" s="33" t="str">
        <f aca="false">IF(B24="","",IF(H24=F24,"Gelijk",IF(F24&lt;H24,"SWK","Woningborg")))</f>
        <v/>
      </c>
    </row>
    <row r="25" customFormat="false" ht="15" hidden="false" customHeight="false" outlineLevel="0" collapsed="false">
      <c r="B25" s="22" t="str">
        <f aca="false">IF(Project!B28="","",Project!B28)</f>
        <v/>
      </c>
      <c r="C25" s="23" t="str">
        <f aca="false">IF(B25="","",Project!C28)</f>
        <v/>
      </c>
      <c r="D25" s="24" t="str">
        <f aca="false">IF(B25="","",Project!D28)</f>
        <v/>
      </c>
      <c r="E25" s="25" t="str">
        <f aca="false">IF(OR(Project!$B28="",Project!$D28=""),"",IFERROR(INDEX('Tarieven SWK'!$D$8:$D$22,MATCH(Project!$D28,'Tarieven SWK'!$B$8:$B$22,1))+N(INDEX('Tarieven SWK'!$E$8:$E$22,MATCH(Project!$D28,'Tarieven SWK'!$B$8:$B$22,1)))*Project!$D28,0))</f>
        <v/>
      </c>
      <c r="F25" s="26" t="str">
        <f aca="false">IF(B25="","",N(E25)*N(C25))</f>
        <v/>
      </c>
      <c r="G25" s="25" t="str">
        <f aca="false">IF(OR(Project!$B28="",Project!$D28=""),"",IFERROR(INDEX('Tarieven Woningborg'!$D$8:$D$22,MATCH(Project!$D28,'Tarieven Woningborg'!$B$8:$B$22,1))+N(INDEX('Tarieven Woningborg'!$E$8:$E$22,MATCH(Project!$D28,'Tarieven Woningborg'!$B$8:$B$22,1)))*Project!$D28,0))</f>
        <v/>
      </c>
      <c r="H25" s="26" t="str">
        <f aca="false">IF(B25="","",N(G25)*N(C25))</f>
        <v/>
      </c>
      <c r="I25" s="26" t="str">
        <f aca="false">IF(B25="","",H25-F25)</f>
        <v/>
      </c>
      <c r="J25" s="27" t="str">
        <f aca="false">IF(B25="","",IF(H25=F25,"Gelijk",IF(F25&lt;H25,"SWK","Woningborg")))</f>
        <v/>
      </c>
    </row>
    <row r="26" customFormat="false" ht="15" hidden="false" customHeight="false" outlineLevel="0" collapsed="false">
      <c r="B26" s="34" t="s">
        <v>33</v>
      </c>
      <c r="C26" s="35" t="n">
        <f aca="false">SUM(C11:C25)</f>
        <v>32</v>
      </c>
      <c r="D26" s="36"/>
      <c r="E26" s="36"/>
      <c r="F26" s="37" t="n">
        <f aca="false">SUM(F11:F25)</f>
        <v>25060</v>
      </c>
      <c r="G26" s="36"/>
      <c r="H26" s="37" t="n">
        <f aca="false">SUM(H11:H25)</f>
        <v>25750</v>
      </c>
      <c r="I26" s="37" t="n">
        <f aca="false">H26-F26</f>
        <v>690</v>
      </c>
      <c r="J26" s="36"/>
    </row>
    <row r="28" customFormat="false" ht="15" hidden="false" customHeight="false" outlineLevel="0" collapsed="false">
      <c r="B28" s="4" t="s">
        <v>34</v>
      </c>
      <c r="C28" s="5"/>
      <c r="D28" s="5"/>
      <c r="E28" s="5"/>
      <c r="F28" s="5"/>
      <c r="G28" s="5"/>
      <c r="H28" s="5"/>
      <c r="I28" s="5"/>
      <c r="J28" s="5"/>
    </row>
    <row r="29" customFormat="false" ht="31.5" hidden="false" customHeight="true" outlineLevel="0" collapsed="false">
      <c r="B29" s="18" t="s">
        <v>35</v>
      </c>
      <c r="C29" s="18"/>
      <c r="D29" s="18"/>
      <c r="E29" s="19" t="s">
        <v>36</v>
      </c>
      <c r="F29" s="19"/>
      <c r="G29" s="20" t="s">
        <v>37</v>
      </c>
      <c r="H29" s="20"/>
      <c r="I29" s="18" t="s">
        <v>38</v>
      </c>
      <c r="J29" s="18"/>
    </row>
    <row r="30" customFormat="false" ht="15" hidden="false" customHeight="false" outlineLevel="0" collapsed="false">
      <c r="B30" s="38" t="s">
        <v>39</v>
      </c>
      <c r="C30" s="38"/>
      <c r="D30" s="38"/>
      <c r="E30" s="39" t="n">
        <f aca="false">F26</f>
        <v>25060</v>
      </c>
      <c r="F30" s="39"/>
      <c r="G30" s="39" t="n">
        <f aca="false">H26</f>
        <v>25750</v>
      </c>
      <c r="H30" s="39"/>
      <c r="I30" s="39" t="n">
        <f aca="false">G30-E30</f>
        <v>690</v>
      </c>
      <c r="J30" s="39"/>
    </row>
    <row r="31" customFormat="false" ht="15" hidden="false" customHeight="false" outlineLevel="0" collapsed="false">
      <c r="B31" s="38" t="s">
        <v>40</v>
      </c>
      <c r="C31" s="38"/>
      <c r="D31" s="38"/>
      <c r="E31" s="40" t="n">
        <f aca="false">'Tarieven SWK'!F37</f>
        <v>3150</v>
      </c>
      <c r="F31" s="40"/>
      <c r="G31" s="40" t="n">
        <f aca="false">'Tarieven Woningborg'!F37</f>
        <v>2770</v>
      </c>
      <c r="H31" s="40"/>
      <c r="I31" s="39" t="n">
        <f aca="false">G31-E31</f>
        <v>-380</v>
      </c>
      <c r="J31" s="39"/>
    </row>
    <row r="32" customFormat="false" ht="15" hidden="false" customHeight="false" outlineLevel="0" collapsed="false">
      <c r="B32" s="41" t="s">
        <v>41</v>
      </c>
      <c r="C32" s="41"/>
      <c r="D32" s="41"/>
      <c r="E32" s="42" t="n">
        <f aca="false">E30+E31</f>
        <v>28210</v>
      </c>
      <c r="F32" s="42"/>
      <c r="G32" s="42" t="n">
        <f aca="false">G30+G31</f>
        <v>28520</v>
      </c>
      <c r="H32" s="42"/>
      <c r="I32" s="42" t="n">
        <f aca="false">G32-E32</f>
        <v>310</v>
      </c>
      <c r="J32" s="42"/>
    </row>
    <row r="33" customFormat="false" ht="15" hidden="false" customHeight="false" outlineLevel="0" collapsed="false">
      <c r="B33" s="38" t="s">
        <v>42</v>
      </c>
      <c r="C33" s="38"/>
      <c r="D33" s="38"/>
      <c r="E33" s="39" t="n">
        <f aca="false">E32*Project!$C$9</f>
        <v>5924.1</v>
      </c>
      <c r="F33" s="39"/>
      <c r="G33" s="39" t="n">
        <f aca="false">G32*Project!$C$9</f>
        <v>5989.2</v>
      </c>
      <c r="H33" s="39"/>
      <c r="I33" s="39" t="n">
        <f aca="false">G33-E33</f>
        <v>65.1000000000004</v>
      </c>
      <c r="J33" s="39"/>
    </row>
    <row r="34" customFormat="false" ht="15" hidden="false" customHeight="false" outlineLevel="0" collapsed="false">
      <c r="B34" s="43" t="s">
        <v>43</v>
      </c>
      <c r="C34" s="43"/>
      <c r="D34" s="43"/>
      <c r="E34" s="44" t="n">
        <f aca="false">E32+E33</f>
        <v>34134.1</v>
      </c>
      <c r="F34" s="44"/>
      <c r="G34" s="45" t="n">
        <f aca="false">G32+G33</f>
        <v>34509.2</v>
      </c>
      <c r="H34" s="45"/>
      <c r="I34" s="46" t="n">
        <f aca="false">G34-E34</f>
        <v>375.099999999999</v>
      </c>
      <c r="J34" s="46"/>
    </row>
    <row r="35" customFormat="false" ht="15" hidden="false" customHeight="false" outlineLevel="0" collapsed="false">
      <c r="B35" s="38" t="s">
        <v>44</v>
      </c>
      <c r="C35" s="38"/>
      <c r="D35" s="38"/>
      <c r="E35" s="39" t="n">
        <f aca="false">IF(Project!$C$29=0,0,E34/Project!$C$29)</f>
        <v>1066.690625</v>
      </c>
      <c r="F35" s="39"/>
      <c r="G35" s="39" t="n">
        <f aca="false">IF(Project!$C$29=0,0,G34/Project!$C$29)</f>
        <v>1078.4125</v>
      </c>
      <c r="H35" s="39"/>
      <c r="I35" s="39" t="n">
        <f aca="false">G35-E35</f>
        <v>11.721875</v>
      </c>
      <c r="J35" s="39"/>
    </row>
    <row r="36" customFormat="false" ht="15" hidden="false" customHeight="false" outlineLevel="0" collapsed="false">
      <c r="B36" s="38" t="s">
        <v>45</v>
      </c>
      <c r="C36" s="38"/>
      <c r="D36" s="38"/>
      <c r="E36" s="47" t="n">
        <f aca="false">IF(Project!$E$29=0,0,E34/Project!$E$29)</f>
        <v>0.00289272033898305</v>
      </c>
      <c r="F36" s="47"/>
      <c r="G36" s="47" t="n">
        <f aca="false">IF(Project!$E$29=0,0,G34/Project!$E$29)</f>
        <v>0.00292450847457627</v>
      </c>
      <c r="H36" s="47"/>
      <c r="I36" s="47" t="n">
        <f aca="false">G36-E36</f>
        <v>3.17881355932199E-005</v>
      </c>
      <c r="J36" s="47"/>
    </row>
    <row r="38" customFormat="false" ht="15" hidden="false" customHeight="false" outlineLevel="0" collapsed="false">
      <c r="B38" s="48" t="s">
        <v>46</v>
      </c>
    </row>
  </sheetData>
  <mergeCells count="43">
    <mergeCell ref="B1:J1"/>
    <mergeCell ref="B2:J2"/>
    <mergeCell ref="B4:D4"/>
    <mergeCell ref="E4:F4"/>
    <mergeCell ref="G4:H4"/>
    <mergeCell ref="I4:K4"/>
    <mergeCell ref="B5:D6"/>
    <mergeCell ref="E5:F6"/>
    <mergeCell ref="G5:H6"/>
    <mergeCell ref="I5:K6"/>
    <mergeCell ref="G7:H7"/>
    <mergeCell ref="B29:D29"/>
    <mergeCell ref="E29:F29"/>
    <mergeCell ref="G29:H29"/>
    <mergeCell ref="I29:J29"/>
    <mergeCell ref="B30:D30"/>
    <mergeCell ref="E30:F30"/>
    <mergeCell ref="G30:H30"/>
    <mergeCell ref="I30:J30"/>
    <mergeCell ref="B31:D31"/>
    <mergeCell ref="E31:F31"/>
    <mergeCell ref="G31:H31"/>
    <mergeCell ref="I31:J31"/>
    <mergeCell ref="B32:D32"/>
    <mergeCell ref="E32:F32"/>
    <mergeCell ref="G32:H32"/>
    <mergeCell ref="I32:J32"/>
    <mergeCell ref="B33:D33"/>
    <mergeCell ref="E33:F33"/>
    <mergeCell ref="G33:H33"/>
    <mergeCell ref="I33:J33"/>
    <mergeCell ref="B34:D34"/>
    <mergeCell ref="E34:F34"/>
    <mergeCell ref="G34:H34"/>
    <mergeCell ref="I34:J34"/>
    <mergeCell ref="B35:D35"/>
    <mergeCell ref="E35:F35"/>
    <mergeCell ref="G35:H35"/>
    <mergeCell ref="I35:J35"/>
    <mergeCell ref="B36:D36"/>
    <mergeCell ref="E36:F36"/>
    <mergeCell ref="G36:H36"/>
    <mergeCell ref="I36:J36"/>
  </mergeCells>
  <conditionalFormatting sqref="J11:J25">
    <cfRule type="expression" priority="2" aboveAverage="0" equalAverage="0" bottom="0" percent="0" rank="0" text="" dxfId="0">
      <formula>J11="SWK"</formula>
    </cfRule>
    <cfRule type="expression" priority="3" aboveAverage="0" equalAverage="0" bottom="0" percent="0" rank="0" text="" dxfId="1">
      <formula>J11="Woningborg"</formula>
    </cfRule>
  </conditionalFormatting>
  <conditionalFormatting sqref="I11:I25">
    <cfRule type="expression" priority="4" aboveAverage="0" equalAverage="0" bottom="0" percent="0" rank="0" text="" dxfId="2">
      <formula>AND(ISNUMBER(I11),I11&gt;0)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C430"/>
    <pageSetUpPr fitToPage="tru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3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22"/>
    <col collapsed="false" customWidth="true" hidden="false" outlineLevel="0" max="6" min="6" style="0" width="30"/>
  </cols>
  <sheetData>
    <row r="1" customFormat="false" ht="30" hidden="false" customHeight="true" outlineLevel="0" collapsed="false">
      <c r="A1" s="1"/>
      <c r="B1" s="2" t="s">
        <v>47</v>
      </c>
      <c r="C1" s="2"/>
      <c r="D1" s="2"/>
      <c r="E1" s="2"/>
      <c r="F1" s="2"/>
      <c r="G1" s="1"/>
    </row>
    <row r="2" customFormat="false" ht="18" hidden="false" customHeight="true" outlineLevel="0" collapsed="false">
      <c r="A2" s="1"/>
      <c r="B2" s="3" t="s">
        <v>48</v>
      </c>
      <c r="C2" s="3"/>
      <c r="D2" s="3"/>
      <c r="E2" s="3"/>
      <c r="F2" s="3"/>
      <c r="G2" s="1"/>
    </row>
    <row r="4" customFormat="false" ht="15" hidden="false" customHeight="false" outlineLevel="0" collapsed="false">
      <c r="B4" s="4" t="s">
        <v>49</v>
      </c>
      <c r="C4" s="5"/>
      <c r="D4" s="5"/>
      <c r="E4" s="5"/>
      <c r="F4" s="5"/>
    </row>
    <row r="5" customFormat="false" ht="15" hidden="false" customHeight="false" outlineLevel="0" collapsed="false">
      <c r="B5" s="49" t="s">
        <v>50</v>
      </c>
      <c r="C5" s="50" t="s">
        <v>51</v>
      </c>
      <c r="D5" s="50"/>
    </row>
    <row r="6" customFormat="false" ht="15" hidden="false" customHeight="false" outlineLevel="0" collapsed="false">
      <c r="B6" s="49" t="s">
        <v>52</v>
      </c>
      <c r="C6" s="50" t="s">
        <v>53</v>
      </c>
      <c r="D6" s="50"/>
    </row>
    <row r="7" customFormat="false" ht="15" hidden="false" customHeight="false" outlineLevel="0" collapsed="false">
      <c r="B7" s="49" t="s">
        <v>54</v>
      </c>
      <c r="C7" s="50" t="s">
        <v>55</v>
      </c>
      <c r="D7" s="50"/>
    </row>
    <row r="8" customFormat="false" ht="15" hidden="false" customHeight="false" outlineLevel="0" collapsed="false">
      <c r="B8" s="49" t="s">
        <v>56</v>
      </c>
      <c r="C8" s="50" t="s">
        <v>57</v>
      </c>
      <c r="D8" s="50"/>
    </row>
    <row r="9" customFormat="false" ht="15" hidden="false" customHeight="false" outlineLevel="0" collapsed="false">
      <c r="B9" s="49" t="s">
        <v>58</v>
      </c>
      <c r="C9" s="51" t="n">
        <v>0.21</v>
      </c>
      <c r="D9" s="51"/>
      <c r="E9" s="48" t="s">
        <v>59</v>
      </c>
    </row>
    <row r="12" customFormat="false" ht="15" hidden="false" customHeight="false" outlineLevel="0" collapsed="false">
      <c r="B12" s="4" t="s">
        <v>60</v>
      </c>
      <c r="C12" s="5"/>
      <c r="D12" s="5"/>
      <c r="E12" s="5"/>
      <c r="F12" s="5"/>
    </row>
    <row r="13" customFormat="false" ht="31.5" hidden="false" customHeight="true" outlineLevel="0" collapsed="false">
      <c r="B13" s="18" t="s">
        <v>25</v>
      </c>
      <c r="C13" s="18" t="s">
        <v>26</v>
      </c>
      <c r="D13" s="18" t="s">
        <v>61</v>
      </c>
      <c r="E13" s="18" t="s">
        <v>62</v>
      </c>
      <c r="F13" s="18" t="s">
        <v>63</v>
      </c>
    </row>
    <row r="14" customFormat="false" ht="15" hidden="false" customHeight="false" outlineLevel="0" collapsed="false">
      <c r="B14" s="50" t="s">
        <v>64</v>
      </c>
      <c r="C14" s="52" t="n">
        <v>12</v>
      </c>
      <c r="D14" s="53" t="n">
        <v>365000</v>
      </c>
      <c r="E14" s="26" t="n">
        <f aca="false">IF(OR(C14="",D14=""),"",C14*D14)</f>
        <v>4380000</v>
      </c>
      <c r="F14" s="50"/>
    </row>
    <row r="15" customFormat="false" ht="15" hidden="false" customHeight="false" outlineLevel="0" collapsed="false">
      <c r="B15" s="50" t="s">
        <v>65</v>
      </c>
      <c r="C15" s="52" t="n">
        <v>6</v>
      </c>
      <c r="D15" s="53" t="n">
        <v>395000</v>
      </c>
      <c r="E15" s="32" t="n">
        <f aca="false">IF(OR(C15="",D15=""),"",C15*D15)</f>
        <v>2370000</v>
      </c>
      <c r="F15" s="50"/>
    </row>
    <row r="16" customFormat="false" ht="15" hidden="false" customHeight="false" outlineLevel="0" collapsed="false">
      <c r="B16" s="50" t="s">
        <v>66</v>
      </c>
      <c r="C16" s="52" t="n">
        <v>4</v>
      </c>
      <c r="D16" s="53" t="n">
        <v>525000</v>
      </c>
      <c r="E16" s="26" t="n">
        <f aca="false">IF(OR(C16="",D16=""),"",C16*D16)</f>
        <v>2100000</v>
      </c>
      <c r="F16" s="50"/>
    </row>
    <row r="17" customFormat="false" ht="15" hidden="false" customHeight="false" outlineLevel="0" collapsed="false">
      <c r="B17" s="50" t="s">
        <v>67</v>
      </c>
      <c r="C17" s="52" t="n">
        <v>10</v>
      </c>
      <c r="D17" s="53" t="n">
        <v>295000</v>
      </c>
      <c r="E17" s="32" t="n">
        <f aca="false">IF(OR(C17="",D17=""),"",C17*D17)</f>
        <v>2950000</v>
      </c>
      <c r="F17" s="50"/>
    </row>
    <row r="18" customFormat="false" ht="15" hidden="false" customHeight="false" outlineLevel="0" collapsed="false">
      <c r="B18" s="50"/>
      <c r="C18" s="52"/>
      <c r="D18" s="53"/>
      <c r="E18" s="26" t="str">
        <f aca="false">IF(OR(C18="",D18=""),"",C18*D18)</f>
        <v/>
      </c>
      <c r="F18" s="50"/>
    </row>
    <row r="19" customFormat="false" ht="15" hidden="false" customHeight="false" outlineLevel="0" collapsed="false">
      <c r="B19" s="50"/>
      <c r="C19" s="52"/>
      <c r="D19" s="53"/>
      <c r="E19" s="32" t="str">
        <f aca="false">IF(OR(C19="",D19=""),"",C19*D19)</f>
        <v/>
      </c>
      <c r="F19" s="50"/>
    </row>
    <row r="20" customFormat="false" ht="15" hidden="false" customHeight="false" outlineLevel="0" collapsed="false">
      <c r="B20" s="50"/>
      <c r="C20" s="52"/>
      <c r="D20" s="53"/>
      <c r="E20" s="26" t="str">
        <f aca="false">IF(OR(C20="",D20=""),"",C20*D20)</f>
        <v/>
      </c>
      <c r="F20" s="50"/>
    </row>
    <row r="21" customFormat="false" ht="15" hidden="false" customHeight="false" outlineLevel="0" collapsed="false">
      <c r="B21" s="50"/>
      <c r="C21" s="52"/>
      <c r="D21" s="53"/>
      <c r="E21" s="32" t="str">
        <f aca="false">IF(OR(C21="",D21=""),"",C21*D21)</f>
        <v/>
      </c>
      <c r="F21" s="50"/>
    </row>
    <row r="22" customFormat="false" ht="15" hidden="false" customHeight="false" outlineLevel="0" collapsed="false">
      <c r="B22" s="50"/>
      <c r="C22" s="52"/>
      <c r="D22" s="53"/>
      <c r="E22" s="26" t="str">
        <f aca="false">IF(OR(C22="",D22=""),"",C22*D22)</f>
        <v/>
      </c>
      <c r="F22" s="50"/>
    </row>
    <row r="23" customFormat="false" ht="15" hidden="false" customHeight="false" outlineLevel="0" collapsed="false">
      <c r="B23" s="50"/>
      <c r="C23" s="52"/>
      <c r="D23" s="53"/>
      <c r="E23" s="32" t="str">
        <f aca="false">IF(OR(C23="",D23=""),"",C23*D23)</f>
        <v/>
      </c>
      <c r="F23" s="50"/>
    </row>
    <row r="24" customFormat="false" ht="15" hidden="false" customHeight="false" outlineLevel="0" collapsed="false">
      <c r="B24" s="50"/>
      <c r="C24" s="52"/>
      <c r="D24" s="53"/>
      <c r="E24" s="26" t="str">
        <f aca="false">IF(OR(C24="",D24=""),"",C24*D24)</f>
        <v/>
      </c>
      <c r="F24" s="50"/>
    </row>
    <row r="25" customFormat="false" ht="15" hidden="false" customHeight="false" outlineLevel="0" collapsed="false">
      <c r="B25" s="50"/>
      <c r="C25" s="52"/>
      <c r="D25" s="53"/>
      <c r="E25" s="32" t="str">
        <f aca="false">IF(OR(C25="",D25=""),"",C25*D25)</f>
        <v/>
      </c>
      <c r="F25" s="50"/>
    </row>
    <row r="26" customFormat="false" ht="15" hidden="false" customHeight="false" outlineLevel="0" collapsed="false">
      <c r="B26" s="50"/>
      <c r="C26" s="52"/>
      <c r="D26" s="53"/>
      <c r="E26" s="26" t="str">
        <f aca="false">IF(OR(C26="",D26=""),"",C26*D26)</f>
        <v/>
      </c>
      <c r="F26" s="50"/>
    </row>
    <row r="27" customFormat="false" ht="15" hidden="false" customHeight="false" outlineLevel="0" collapsed="false">
      <c r="B27" s="50"/>
      <c r="C27" s="52"/>
      <c r="D27" s="53"/>
      <c r="E27" s="32" t="str">
        <f aca="false">IF(OR(C27="",D27=""),"",C27*D27)</f>
        <v/>
      </c>
      <c r="F27" s="50"/>
    </row>
    <row r="28" customFormat="false" ht="15" hidden="false" customHeight="false" outlineLevel="0" collapsed="false">
      <c r="B28" s="50"/>
      <c r="C28" s="52"/>
      <c r="D28" s="53"/>
      <c r="E28" s="26" t="str">
        <f aca="false">IF(OR(C28="",D28=""),"",C28*D28)</f>
        <v/>
      </c>
      <c r="F28" s="50"/>
    </row>
    <row r="29" customFormat="false" ht="15" hidden="false" customHeight="false" outlineLevel="0" collapsed="false">
      <c r="B29" s="54" t="s">
        <v>33</v>
      </c>
      <c r="C29" s="55" t="n">
        <f aca="false">SUM(C14:C28)</f>
        <v>32</v>
      </c>
      <c r="D29" s="56" t="n">
        <f aca="false">IF(C29=0,"",E29/C29)</f>
        <v>368750</v>
      </c>
      <c r="E29" s="56" t="n">
        <f aca="false">SUM(E14:E28)</f>
        <v>11800000</v>
      </c>
      <c r="F29" s="57"/>
    </row>
    <row r="31" customFormat="false" ht="15" hidden="false" customHeight="false" outlineLevel="0" collapsed="false">
      <c r="B31" s="48" t="s">
        <v>68</v>
      </c>
    </row>
  </sheetData>
  <mergeCells count="7">
    <mergeCell ref="B1:F1"/>
    <mergeCell ref="B2:F2"/>
    <mergeCell ref="C5:D5"/>
    <mergeCell ref="C6:D6"/>
    <mergeCell ref="C7:D7"/>
    <mergeCell ref="C8:D8"/>
    <mergeCell ref="C9:D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9D8F"/>
    <pageSetUpPr fitToPage="true"/>
  </sheetPr>
  <dimension ref="A1:H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" min="2" style="0" width="24"/>
    <col collapsed="false" customWidth="true" hidden="false" outlineLevel="0" max="4" min="4" style="0" width="22"/>
    <col collapsed="false" customWidth="true" hidden="false" outlineLevel="0" max="5" min="5" style="0" width="20"/>
    <col collapsed="false" customWidth="true" hidden="false" outlineLevel="0" max="6" min="6" style="0" width="16"/>
    <col collapsed="false" customWidth="true" hidden="false" outlineLevel="0" max="7" min="7" style="0" width="34"/>
  </cols>
  <sheetData>
    <row r="1" customFormat="false" ht="30" hidden="false" customHeight="true" outlineLevel="0" collapsed="false">
      <c r="A1" s="58"/>
      <c r="B1" s="59" t="s">
        <v>69</v>
      </c>
      <c r="C1" s="59"/>
      <c r="D1" s="59"/>
      <c r="E1" s="59"/>
      <c r="F1" s="59"/>
      <c r="G1" s="59"/>
      <c r="H1" s="58"/>
    </row>
    <row r="2" customFormat="false" ht="18" hidden="false" customHeight="true" outlineLevel="0" collapsed="false">
      <c r="A2" s="58"/>
      <c r="B2" s="60" t="s">
        <v>70</v>
      </c>
      <c r="C2" s="60"/>
      <c r="D2" s="60"/>
      <c r="E2" s="60"/>
      <c r="F2" s="60"/>
      <c r="G2" s="60"/>
      <c r="H2" s="58"/>
    </row>
    <row r="4" customFormat="false" ht="15" hidden="false" customHeight="false" outlineLevel="0" collapsed="false">
      <c r="B4" s="61" t="s">
        <v>71</v>
      </c>
      <c r="C4" s="50" t="s">
        <v>72</v>
      </c>
      <c r="D4" s="50"/>
      <c r="E4" s="50"/>
      <c r="F4" s="50"/>
      <c r="G4" s="50"/>
    </row>
    <row r="6" customFormat="false" ht="15" hidden="false" customHeight="false" outlineLevel="0" collapsed="false">
      <c r="B6" s="62" t="s">
        <v>73</v>
      </c>
      <c r="C6" s="63"/>
      <c r="D6" s="63"/>
      <c r="E6" s="63"/>
      <c r="F6" s="63"/>
      <c r="G6" s="63"/>
    </row>
    <row r="7" customFormat="false" ht="31.5" hidden="false" customHeight="true" outlineLevel="0" collapsed="false">
      <c r="B7" s="19" t="s">
        <v>74</v>
      </c>
      <c r="C7" s="19" t="s">
        <v>75</v>
      </c>
      <c r="D7" s="19" t="s">
        <v>76</v>
      </c>
      <c r="E7" s="19" t="s">
        <v>77</v>
      </c>
      <c r="F7" s="21"/>
      <c r="G7" s="19" t="s">
        <v>78</v>
      </c>
    </row>
    <row r="8" customFormat="false" ht="15" hidden="false" customHeight="false" outlineLevel="0" collapsed="false">
      <c r="B8" s="53" t="n">
        <v>0</v>
      </c>
      <c r="C8" s="64" t="n">
        <f aca="false">IF(B8="","",IF(B9="","en hoger",B9-1))</f>
        <v>149999</v>
      </c>
      <c r="D8" s="65" t="n">
        <v>495</v>
      </c>
      <c r="E8" s="66"/>
      <c r="G8" s="50"/>
    </row>
    <row r="9" customFormat="false" ht="15" hidden="false" customHeight="false" outlineLevel="0" collapsed="false">
      <c r="B9" s="53" t="n">
        <v>150000</v>
      </c>
      <c r="C9" s="64" t="n">
        <f aca="false">IF(B9="","",IF(B10="","en hoger",B10-1))</f>
        <v>249999</v>
      </c>
      <c r="D9" s="65" t="n">
        <v>595</v>
      </c>
      <c r="E9" s="66"/>
      <c r="G9" s="50"/>
    </row>
    <row r="10" customFormat="false" ht="15" hidden="false" customHeight="false" outlineLevel="0" collapsed="false">
      <c r="B10" s="53" t="n">
        <v>250000</v>
      </c>
      <c r="C10" s="64" t="n">
        <f aca="false">IF(B10="","",IF(B11="","en hoger",B11-1))</f>
        <v>349999</v>
      </c>
      <c r="D10" s="65" t="n">
        <v>695</v>
      </c>
      <c r="E10" s="66"/>
      <c r="G10" s="50"/>
    </row>
    <row r="11" customFormat="false" ht="15" hidden="false" customHeight="false" outlineLevel="0" collapsed="false">
      <c r="B11" s="53" t="n">
        <v>350000</v>
      </c>
      <c r="C11" s="64" t="n">
        <f aca="false">IF(B11="","",IF(B12="","en hoger",B12-1))</f>
        <v>499999</v>
      </c>
      <c r="D11" s="65" t="n">
        <v>795</v>
      </c>
      <c r="E11" s="66"/>
      <c r="G11" s="50"/>
    </row>
    <row r="12" customFormat="false" ht="15" hidden="false" customHeight="false" outlineLevel="0" collapsed="false">
      <c r="B12" s="53" t="n">
        <v>500000</v>
      </c>
      <c r="C12" s="64" t="n">
        <f aca="false">IF(B12="","",IF(B13="","en hoger",B13-1))</f>
        <v>749999</v>
      </c>
      <c r="D12" s="65" t="n">
        <v>950</v>
      </c>
      <c r="E12" s="66"/>
      <c r="G12" s="50"/>
    </row>
    <row r="13" customFormat="false" ht="15" hidden="false" customHeight="false" outlineLevel="0" collapsed="false">
      <c r="B13" s="53" t="n">
        <v>750000</v>
      </c>
      <c r="C13" s="64" t="str">
        <f aca="false">IF(B13="","",IF(B14="","en hoger",B14-1))</f>
        <v>en hoger</v>
      </c>
      <c r="D13" s="65" t="n">
        <v>1150</v>
      </c>
      <c r="E13" s="66"/>
      <c r="G13" s="50"/>
    </row>
    <row r="14" customFormat="false" ht="15" hidden="false" customHeight="false" outlineLevel="0" collapsed="false">
      <c r="B14" s="53"/>
      <c r="C14" s="64" t="str">
        <f aca="false">IF(B14="","",IF(B15="","en hoger",B15-1))</f>
        <v/>
      </c>
      <c r="D14" s="65"/>
      <c r="E14" s="66"/>
      <c r="G14" s="50"/>
    </row>
    <row r="15" customFormat="false" ht="15" hidden="false" customHeight="false" outlineLevel="0" collapsed="false">
      <c r="B15" s="53"/>
      <c r="C15" s="64" t="str">
        <f aca="false">IF(B15="","",IF(B16="","en hoger",B16-1))</f>
        <v/>
      </c>
      <c r="D15" s="65"/>
      <c r="E15" s="66"/>
      <c r="G15" s="50"/>
    </row>
    <row r="16" customFormat="false" ht="15" hidden="false" customHeight="false" outlineLevel="0" collapsed="false">
      <c r="B16" s="53"/>
      <c r="C16" s="64" t="str">
        <f aca="false">IF(B16="","",IF(B17="","en hoger",B17-1))</f>
        <v/>
      </c>
      <c r="D16" s="65"/>
      <c r="E16" s="66"/>
      <c r="G16" s="50"/>
    </row>
    <row r="17" customFormat="false" ht="15" hidden="false" customHeight="false" outlineLevel="0" collapsed="false">
      <c r="B17" s="53"/>
      <c r="C17" s="64" t="str">
        <f aca="false">IF(B17="","",IF(B18="","en hoger",B18-1))</f>
        <v/>
      </c>
      <c r="D17" s="65"/>
      <c r="E17" s="66"/>
      <c r="G17" s="50"/>
    </row>
    <row r="18" customFormat="false" ht="15" hidden="false" customHeight="false" outlineLevel="0" collapsed="false">
      <c r="B18" s="53"/>
      <c r="C18" s="64" t="str">
        <f aca="false">IF(B18="","",IF(B19="","en hoger",B19-1))</f>
        <v/>
      </c>
      <c r="D18" s="65"/>
      <c r="E18" s="66"/>
      <c r="G18" s="50"/>
    </row>
    <row r="19" customFormat="false" ht="15" hidden="false" customHeight="false" outlineLevel="0" collapsed="false">
      <c r="B19" s="53"/>
      <c r="C19" s="64" t="str">
        <f aca="false">IF(B19="","",IF(B20="","en hoger",B20-1))</f>
        <v/>
      </c>
      <c r="D19" s="65"/>
      <c r="E19" s="66"/>
      <c r="G19" s="50"/>
    </row>
    <row r="20" customFormat="false" ht="15" hidden="false" customHeight="false" outlineLevel="0" collapsed="false">
      <c r="B20" s="53"/>
      <c r="C20" s="64" t="str">
        <f aca="false">IF(B20="","",IF(B21="","en hoger",B21-1))</f>
        <v/>
      </c>
      <c r="D20" s="65"/>
      <c r="E20" s="66"/>
      <c r="G20" s="50"/>
    </row>
    <row r="21" customFormat="false" ht="15" hidden="false" customHeight="false" outlineLevel="0" collapsed="false">
      <c r="B21" s="53"/>
      <c r="C21" s="64" t="str">
        <f aca="false">IF(B21="","",IF(B22="","en hoger",B22-1))</f>
        <v/>
      </c>
      <c r="D21" s="65"/>
      <c r="E21" s="66"/>
      <c r="G21" s="50"/>
    </row>
    <row r="22" customFormat="false" ht="15" hidden="false" customHeight="false" outlineLevel="0" collapsed="false">
      <c r="B22" s="53"/>
      <c r="C22" s="64" t="str">
        <f aca="false">IF(B22="","","en hoger")</f>
        <v/>
      </c>
      <c r="D22" s="65"/>
      <c r="E22" s="66"/>
      <c r="G22" s="50"/>
    </row>
    <row r="25" customFormat="false" ht="15" hidden="false" customHeight="false" outlineLevel="0" collapsed="false">
      <c r="B25" s="62" t="s">
        <v>79</v>
      </c>
      <c r="C25" s="63"/>
      <c r="D25" s="63"/>
      <c r="E25" s="63"/>
      <c r="F25" s="63"/>
      <c r="G25" s="63"/>
    </row>
    <row r="26" customFormat="false" ht="31.5" hidden="false" customHeight="true" outlineLevel="0" collapsed="false">
      <c r="B26" s="19" t="s">
        <v>80</v>
      </c>
      <c r="C26" s="19" t="s">
        <v>81</v>
      </c>
      <c r="D26" s="19" t="s">
        <v>82</v>
      </c>
      <c r="E26" s="19" t="s">
        <v>83</v>
      </c>
      <c r="F26" s="19" t="s">
        <v>84</v>
      </c>
      <c r="G26" s="19" t="s">
        <v>78</v>
      </c>
    </row>
    <row r="27" customFormat="false" ht="15" hidden="false" customHeight="false" outlineLevel="0" collapsed="false">
      <c r="B27" s="50" t="s">
        <v>85</v>
      </c>
      <c r="C27" s="50" t="s">
        <v>86</v>
      </c>
      <c r="D27" s="65" t="n">
        <v>750</v>
      </c>
      <c r="E27" s="52"/>
      <c r="F27" s="26" t="n">
        <f aca="false">IF(OR(D27="",C27=""),"",D27*IF(E27="",1,E27)*IF(C27="Per woning",Project!$C$29,1))</f>
        <v>750</v>
      </c>
      <c r="G27" s="50"/>
    </row>
    <row r="28" customFormat="false" ht="15" hidden="false" customHeight="false" outlineLevel="0" collapsed="false">
      <c r="B28" s="50" t="s">
        <v>87</v>
      </c>
      <c r="C28" s="50" t="s">
        <v>88</v>
      </c>
      <c r="D28" s="65" t="n">
        <v>75</v>
      </c>
      <c r="E28" s="52"/>
      <c r="F28" s="26" t="n">
        <f aca="false">IF(OR(D28="",C28=""),"",D28*IF(E28="",1,E28)*IF(C28="Per woning",Project!$C$29,1))</f>
        <v>2400</v>
      </c>
      <c r="G28" s="50"/>
    </row>
    <row r="29" customFormat="false" ht="15" hidden="false" customHeight="false" outlineLevel="0" collapsed="false">
      <c r="B29" s="50"/>
      <c r="C29" s="50"/>
      <c r="D29" s="65"/>
      <c r="E29" s="52"/>
      <c r="F29" s="26" t="str">
        <f aca="false">IF(OR(D29="",C29=""),"",D29*IF(E29="",1,E29)*IF(C29="Per woning",Project!$C$29,1))</f>
        <v/>
      </c>
      <c r="G29" s="50"/>
    </row>
    <row r="30" customFormat="false" ht="15" hidden="false" customHeight="false" outlineLevel="0" collapsed="false">
      <c r="B30" s="50"/>
      <c r="C30" s="50"/>
      <c r="D30" s="65"/>
      <c r="E30" s="52"/>
      <c r="F30" s="26" t="str">
        <f aca="false">IF(OR(D30="",C30=""),"",D30*IF(E30="",1,E30)*IF(C30="Per woning",Project!$C$29,1))</f>
        <v/>
      </c>
      <c r="G30" s="50"/>
    </row>
    <row r="31" customFormat="false" ht="15" hidden="false" customHeight="false" outlineLevel="0" collapsed="false">
      <c r="B31" s="50"/>
      <c r="C31" s="50"/>
      <c r="D31" s="65"/>
      <c r="E31" s="52"/>
      <c r="F31" s="26" t="str">
        <f aca="false">IF(OR(D31="",C31=""),"",D31*IF(E31="",1,E31)*IF(C31="Per woning",Project!$C$29,1))</f>
        <v/>
      </c>
      <c r="G31" s="50"/>
    </row>
    <row r="32" customFormat="false" ht="15" hidden="false" customHeight="false" outlineLevel="0" collapsed="false">
      <c r="B32" s="50"/>
      <c r="C32" s="50"/>
      <c r="D32" s="65"/>
      <c r="E32" s="52"/>
      <c r="F32" s="26" t="str">
        <f aca="false">IF(OR(D32="",C32=""),"",D32*IF(E32="",1,E32)*IF(C32="Per woning",Project!$C$29,1))</f>
        <v/>
      </c>
      <c r="G32" s="50"/>
    </row>
    <row r="33" customFormat="false" ht="15" hidden="false" customHeight="false" outlineLevel="0" collapsed="false">
      <c r="B33" s="50"/>
      <c r="C33" s="50"/>
      <c r="D33" s="65"/>
      <c r="E33" s="52"/>
      <c r="F33" s="26" t="str">
        <f aca="false">IF(OR(D33="",C33=""),"",D33*IF(E33="",1,E33)*IF(C33="Per woning",Project!$C$29,1))</f>
        <v/>
      </c>
      <c r="G33" s="50"/>
    </row>
    <row r="34" customFormat="false" ht="15" hidden="false" customHeight="false" outlineLevel="0" collapsed="false">
      <c r="B34" s="50"/>
      <c r="C34" s="50"/>
      <c r="D34" s="65"/>
      <c r="E34" s="52"/>
      <c r="F34" s="26" t="str">
        <f aca="false">IF(OR(D34="",C34=""),"",D34*IF(E34="",1,E34)*IF(C34="Per woning",Project!$C$29,1))</f>
        <v/>
      </c>
      <c r="G34" s="50"/>
    </row>
    <row r="35" customFormat="false" ht="15" hidden="false" customHeight="false" outlineLevel="0" collapsed="false">
      <c r="B35" s="50"/>
      <c r="C35" s="50"/>
      <c r="D35" s="65"/>
      <c r="E35" s="52"/>
      <c r="F35" s="26" t="str">
        <f aca="false">IF(OR(D35="",C35=""),"",D35*IF(E35="",1,E35)*IF(C35="Per woning",Project!$C$29,1))</f>
        <v/>
      </c>
      <c r="G35" s="50"/>
    </row>
    <row r="36" customFormat="false" ht="15" hidden="false" customHeight="false" outlineLevel="0" collapsed="false">
      <c r="B36" s="50"/>
      <c r="C36" s="50"/>
      <c r="D36" s="65"/>
      <c r="E36" s="52"/>
      <c r="F36" s="26" t="str">
        <f aca="false">IF(OR(D36="",C36=""),"",D36*IF(E36="",1,E36)*IF(C36="Per woning",Project!$C$29,1))</f>
        <v/>
      </c>
      <c r="G36" s="50"/>
    </row>
    <row r="37" customFormat="false" ht="15" hidden="false" customHeight="false" outlineLevel="0" collapsed="false">
      <c r="B37" s="61" t="s">
        <v>89</v>
      </c>
      <c r="F37" s="67" t="n">
        <f aca="false">SUM(F27:F36)</f>
        <v>3150</v>
      </c>
    </row>
    <row r="39" customFormat="false" ht="15" hidden="false" customHeight="false" outlineLevel="0" collapsed="false">
      <c r="B39" s="48" t="s">
        <v>90</v>
      </c>
    </row>
  </sheetData>
  <mergeCells count="3">
    <mergeCell ref="B1:G1"/>
    <mergeCell ref="B2:G2"/>
    <mergeCell ref="C4:G4"/>
  </mergeCells>
  <dataValidations count="1">
    <dataValidation allowBlank="true" errorStyle="stop" operator="between" showDropDown="false" showErrorMessage="false" showInputMessage="false" sqref="C27:C36" type="list">
      <formula1>"Per woning,Per project"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7A2F"/>
    <pageSetUpPr fitToPage="true"/>
  </sheetPr>
  <dimension ref="A1:H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" min="2" style="0" width="24"/>
    <col collapsed="false" customWidth="true" hidden="false" outlineLevel="0" max="4" min="4" style="0" width="22"/>
    <col collapsed="false" customWidth="true" hidden="false" outlineLevel="0" max="5" min="5" style="0" width="20"/>
    <col collapsed="false" customWidth="true" hidden="false" outlineLevel="0" max="6" min="6" style="0" width="16"/>
    <col collapsed="false" customWidth="true" hidden="false" outlineLevel="0" max="7" min="7" style="0" width="34"/>
  </cols>
  <sheetData>
    <row r="1" customFormat="false" ht="30" hidden="false" customHeight="true" outlineLevel="0" collapsed="false">
      <c r="A1" s="68"/>
      <c r="B1" s="69" t="s">
        <v>91</v>
      </c>
      <c r="C1" s="69"/>
      <c r="D1" s="69"/>
      <c r="E1" s="69"/>
      <c r="F1" s="69"/>
      <c r="G1" s="69"/>
      <c r="H1" s="68"/>
    </row>
    <row r="2" customFormat="false" ht="18" hidden="false" customHeight="true" outlineLevel="0" collapsed="false">
      <c r="A2" s="68"/>
      <c r="B2" s="70" t="s">
        <v>70</v>
      </c>
      <c r="C2" s="70"/>
      <c r="D2" s="70"/>
      <c r="E2" s="70"/>
      <c r="F2" s="70"/>
      <c r="G2" s="70"/>
      <c r="H2" s="68"/>
    </row>
    <row r="4" customFormat="false" ht="15" hidden="false" customHeight="false" outlineLevel="0" collapsed="false">
      <c r="B4" s="61" t="s">
        <v>71</v>
      </c>
      <c r="C4" s="50" t="s">
        <v>72</v>
      </c>
      <c r="D4" s="50"/>
      <c r="E4" s="50"/>
      <c r="F4" s="50"/>
      <c r="G4" s="50"/>
    </row>
    <row r="6" customFormat="false" ht="15" hidden="false" customHeight="false" outlineLevel="0" collapsed="false">
      <c r="B6" s="71" t="s">
        <v>73</v>
      </c>
      <c r="C6" s="72"/>
      <c r="D6" s="72"/>
      <c r="E6" s="72"/>
      <c r="F6" s="72"/>
      <c r="G6" s="72"/>
    </row>
    <row r="7" customFormat="false" ht="31.5" hidden="false" customHeight="true" outlineLevel="0" collapsed="false">
      <c r="B7" s="20" t="s">
        <v>74</v>
      </c>
      <c r="C7" s="20" t="s">
        <v>75</v>
      </c>
      <c r="D7" s="20" t="s">
        <v>76</v>
      </c>
      <c r="E7" s="20" t="s">
        <v>77</v>
      </c>
      <c r="F7" s="21"/>
      <c r="G7" s="20" t="s">
        <v>78</v>
      </c>
    </row>
    <row r="8" customFormat="false" ht="15" hidden="false" customHeight="false" outlineLevel="0" collapsed="false">
      <c r="B8" s="53" t="n">
        <v>0</v>
      </c>
      <c r="C8" s="64" t="n">
        <f aca="false">IF(B8="","",IF(B9="","en hoger",B9-1))</f>
        <v>149999</v>
      </c>
      <c r="D8" s="65" t="n">
        <v>450</v>
      </c>
      <c r="E8" s="66"/>
      <c r="G8" s="50"/>
    </row>
    <row r="9" customFormat="false" ht="15" hidden="false" customHeight="false" outlineLevel="0" collapsed="false">
      <c r="B9" s="53" t="n">
        <v>150000</v>
      </c>
      <c r="C9" s="64" t="n">
        <f aca="false">IF(B9="","",IF(B10="","en hoger",B10-1))</f>
        <v>249999</v>
      </c>
      <c r="D9" s="65" t="n">
        <v>575</v>
      </c>
      <c r="E9" s="66"/>
      <c r="G9" s="50"/>
    </row>
    <row r="10" customFormat="false" ht="15" hidden="false" customHeight="false" outlineLevel="0" collapsed="false">
      <c r="B10" s="53" t="n">
        <v>250000</v>
      </c>
      <c r="C10" s="64" t="n">
        <f aca="false">IF(B10="","",IF(B11="","en hoger",B11-1))</f>
        <v>349999</v>
      </c>
      <c r="D10" s="65" t="n">
        <v>700</v>
      </c>
      <c r="E10" s="66"/>
      <c r="G10" s="50"/>
    </row>
    <row r="11" customFormat="false" ht="15" hidden="false" customHeight="false" outlineLevel="0" collapsed="false">
      <c r="B11" s="53" t="n">
        <v>350000</v>
      </c>
      <c r="C11" s="64" t="n">
        <f aca="false">IF(B11="","",IF(B12="","en hoger",B12-1))</f>
        <v>499999</v>
      </c>
      <c r="D11" s="65" t="n">
        <v>825</v>
      </c>
      <c r="E11" s="66"/>
      <c r="G11" s="50"/>
    </row>
    <row r="12" customFormat="false" ht="15" hidden="false" customHeight="false" outlineLevel="0" collapsed="false">
      <c r="B12" s="53" t="n">
        <v>500000</v>
      </c>
      <c r="C12" s="64" t="n">
        <f aca="false">IF(B12="","",IF(B13="","en hoger",B13-1))</f>
        <v>749999</v>
      </c>
      <c r="D12" s="65" t="n">
        <v>975</v>
      </c>
      <c r="E12" s="66"/>
      <c r="G12" s="50"/>
    </row>
    <row r="13" customFormat="false" ht="15" hidden="false" customHeight="false" outlineLevel="0" collapsed="false">
      <c r="B13" s="53" t="n">
        <v>750000</v>
      </c>
      <c r="C13" s="64" t="str">
        <f aca="false">IF(B13="","",IF(B14="","en hoger",B14-1))</f>
        <v>en hoger</v>
      </c>
      <c r="D13" s="65" t="n">
        <v>1200</v>
      </c>
      <c r="E13" s="66"/>
      <c r="G13" s="50"/>
    </row>
    <row r="14" customFormat="false" ht="15" hidden="false" customHeight="false" outlineLevel="0" collapsed="false">
      <c r="B14" s="53"/>
      <c r="C14" s="64" t="str">
        <f aca="false">IF(B14="","",IF(B15="","en hoger",B15-1))</f>
        <v/>
      </c>
      <c r="D14" s="65"/>
      <c r="E14" s="66"/>
      <c r="G14" s="50"/>
    </row>
    <row r="15" customFormat="false" ht="15" hidden="false" customHeight="false" outlineLevel="0" collapsed="false">
      <c r="B15" s="53"/>
      <c r="C15" s="64" t="str">
        <f aca="false">IF(B15="","",IF(B16="","en hoger",B16-1))</f>
        <v/>
      </c>
      <c r="D15" s="65"/>
      <c r="E15" s="66"/>
      <c r="G15" s="50"/>
    </row>
    <row r="16" customFormat="false" ht="15" hidden="false" customHeight="false" outlineLevel="0" collapsed="false">
      <c r="B16" s="53"/>
      <c r="C16" s="64" t="str">
        <f aca="false">IF(B16="","",IF(B17="","en hoger",B17-1))</f>
        <v/>
      </c>
      <c r="D16" s="65"/>
      <c r="E16" s="66"/>
      <c r="G16" s="50"/>
    </row>
    <row r="17" customFormat="false" ht="15" hidden="false" customHeight="false" outlineLevel="0" collapsed="false">
      <c r="B17" s="53"/>
      <c r="C17" s="64" t="str">
        <f aca="false">IF(B17="","",IF(B18="","en hoger",B18-1))</f>
        <v/>
      </c>
      <c r="D17" s="65"/>
      <c r="E17" s="66"/>
      <c r="G17" s="50"/>
    </row>
    <row r="18" customFormat="false" ht="15" hidden="false" customHeight="false" outlineLevel="0" collapsed="false">
      <c r="B18" s="53"/>
      <c r="C18" s="64" t="str">
        <f aca="false">IF(B18="","",IF(B19="","en hoger",B19-1))</f>
        <v/>
      </c>
      <c r="D18" s="65"/>
      <c r="E18" s="66"/>
      <c r="G18" s="50"/>
    </row>
    <row r="19" customFormat="false" ht="15" hidden="false" customHeight="false" outlineLevel="0" collapsed="false">
      <c r="B19" s="53"/>
      <c r="C19" s="64" t="str">
        <f aca="false">IF(B19="","",IF(B20="","en hoger",B20-1))</f>
        <v/>
      </c>
      <c r="D19" s="65"/>
      <c r="E19" s="66"/>
      <c r="G19" s="50"/>
    </row>
    <row r="20" customFormat="false" ht="15" hidden="false" customHeight="false" outlineLevel="0" collapsed="false">
      <c r="B20" s="53"/>
      <c r="C20" s="64" t="str">
        <f aca="false">IF(B20="","",IF(B21="","en hoger",B21-1))</f>
        <v/>
      </c>
      <c r="D20" s="65"/>
      <c r="E20" s="66"/>
      <c r="G20" s="50"/>
    </row>
    <row r="21" customFormat="false" ht="15" hidden="false" customHeight="false" outlineLevel="0" collapsed="false">
      <c r="B21" s="53"/>
      <c r="C21" s="64" t="str">
        <f aca="false">IF(B21="","",IF(B22="","en hoger",B22-1))</f>
        <v/>
      </c>
      <c r="D21" s="65"/>
      <c r="E21" s="66"/>
      <c r="G21" s="50"/>
    </row>
    <row r="22" customFormat="false" ht="15" hidden="false" customHeight="false" outlineLevel="0" collapsed="false">
      <c r="B22" s="53"/>
      <c r="C22" s="64" t="str">
        <f aca="false">IF(B22="","","en hoger")</f>
        <v/>
      </c>
      <c r="D22" s="65"/>
      <c r="E22" s="66"/>
      <c r="G22" s="50"/>
    </row>
    <row r="25" customFormat="false" ht="15" hidden="false" customHeight="false" outlineLevel="0" collapsed="false">
      <c r="B25" s="71" t="s">
        <v>79</v>
      </c>
      <c r="C25" s="72"/>
      <c r="D25" s="72"/>
      <c r="E25" s="72"/>
      <c r="F25" s="72"/>
      <c r="G25" s="72"/>
    </row>
    <row r="26" customFormat="false" ht="31.5" hidden="false" customHeight="true" outlineLevel="0" collapsed="false">
      <c r="B26" s="20" t="s">
        <v>80</v>
      </c>
      <c r="C26" s="20" t="s">
        <v>81</v>
      </c>
      <c r="D26" s="20" t="s">
        <v>82</v>
      </c>
      <c r="E26" s="20" t="s">
        <v>83</v>
      </c>
      <c r="F26" s="20" t="s">
        <v>84</v>
      </c>
      <c r="G26" s="20" t="s">
        <v>78</v>
      </c>
    </row>
    <row r="27" customFormat="false" ht="15" hidden="false" customHeight="false" outlineLevel="0" collapsed="false">
      <c r="B27" s="50" t="s">
        <v>85</v>
      </c>
      <c r="C27" s="50" t="s">
        <v>86</v>
      </c>
      <c r="D27" s="65" t="n">
        <v>850</v>
      </c>
      <c r="E27" s="52"/>
      <c r="F27" s="26" t="n">
        <f aca="false">IF(OR(D27="",C27=""),"",D27*IF(E27="",1,E27)*IF(C27="Per woning",Project!$C$29,1))</f>
        <v>850</v>
      </c>
      <c r="G27" s="50"/>
    </row>
    <row r="28" customFormat="false" ht="15" hidden="false" customHeight="false" outlineLevel="0" collapsed="false">
      <c r="B28" s="50" t="s">
        <v>87</v>
      </c>
      <c r="C28" s="50" t="s">
        <v>88</v>
      </c>
      <c r="D28" s="65" t="n">
        <v>60</v>
      </c>
      <c r="E28" s="52"/>
      <c r="F28" s="26" t="n">
        <f aca="false">IF(OR(D28="",C28=""),"",D28*IF(E28="",1,E28)*IF(C28="Per woning",Project!$C$29,1))</f>
        <v>1920</v>
      </c>
      <c r="G28" s="50"/>
    </row>
    <row r="29" customFormat="false" ht="15" hidden="false" customHeight="false" outlineLevel="0" collapsed="false">
      <c r="B29" s="50"/>
      <c r="C29" s="50"/>
      <c r="D29" s="65"/>
      <c r="E29" s="52"/>
      <c r="F29" s="26" t="str">
        <f aca="false">IF(OR(D29="",C29=""),"",D29*IF(E29="",1,E29)*IF(C29="Per woning",Project!$C$29,1))</f>
        <v/>
      </c>
      <c r="G29" s="50"/>
    </row>
    <row r="30" customFormat="false" ht="15" hidden="false" customHeight="false" outlineLevel="0" collapsed="false">
      <c r="B30" s="50"/>
      <c r="C30" s="50"/>
      <c r="D30" s="65"/>
      <c r="E30" s="52"/>
      <c r="F30" s="26" t="str">
        <f aca="false">IF(OR(D30="",C30=""),"",D30*IF(E30="",1,E30)*IF(C30="Per woning",Project!$C$29,1))</f>
        <v/>
      </c>
      <c r="G30" s="50"/>
    </row>
    <row r="31" customFormat="false" ht="15" hidden="false" customHeight="false" outlineLevel="0" collapsed="false">
      <c r="B31" s="50"/>
      <c r="C31" s="50"/>
      <c r="D31" s="65"/>
      <c r="E31" s="52"/>
      <c r="F31" s="26" t="str">
        <f aca="false">IF(OR(D31="",C31=""),"",D31*IF(E31="",1,E31)*IF(C31="Per woning",Project!$C$29,1))</f>
        <v/>
      </c>
      <c r="G31" s="50"/>
    </row>
    <row r="32" customFormat="false" ht="15" hidden="false" customHeight="false" outlineLevel="0" collapsed="false">
      <c r="B32" s="50"/>
      <c r="C32" s="50"/>
      <c r="D32" s="65"/>
      <c r="E32" s="52"/>
      <c r="F32" s="26" t="str">
        <f aca="false">IF(OR(D32="",C32=""),"",D32*IF(E32="",1,E32)*IF(C32="Per woning",Project!$C$29,1))</f>
        <v/>
      </c>
      <c r="G32" s="50"/>
    </row>
    <row r="33" customFormat="false" ht="15" hidden="false" customHeight="false" outlineLevel="0" collapsed="false">
      <c r="B33" s="50"/>
      <c r="C33" s="50"/>
      <c r="D33" s="65"/>
      <c r="E33" s="52"/>
      <c r="F33" s="26" t="str">
        <f aca="false">IF(OR(D33="",C33=""),"",D33*IF(E33="",1,E33)*IF(C33="Per woning",Project!$C$29,1))</f>
        <v/>
      </c>
      <c r="G33" s="50"/>
    </row>
    <row r="34" customFormat="false" ht="15" hidden="false" customHeight="false" outlineLevel="0" collapsed="false">
      <c r="B34" s="50"/>
      <c r="C34" s="50"/>
      <c r="D34" s="65"/>
      <c r="E34" s="52"/>
      <c r="F34" s="26" t="str">
        <f aca="false">IF(OR(D34="",C34=""),"",D34*IF(E34="",1,E34)*IF(C34="Per woning",Project!$C$29,1))</f>
        <v/>
      </c>
      <c r="G34" s="50"/>
    </row>
    <row r="35" customFormat="false" ht="15" hidden="false" customHeight="false" outlineLevel="0" collapsed="false">
      <c r="B35" s="50"/>
      <c r="C35" s="50"/>
      <c r="D35" s="65"/>
      <c r="E35" s="52"/>
      <c r="F35" s="26" t="str">
        <f aca="false">IF(OR(D35="",C35=""),"",D35*IF(E35="",1,E35)*IF(C35="Per woning",Project!$C$29,1))</f>
        <v/>
      </c>
      <c r="G35" s="50"/>
    </row>
    <row r="36" customFormat="false" ht="15" hidden="false" customHeight="false" outlineLevel="0" collapsed="false">
      <c r="B36" s="50"/>
      <c r="C36" s="50"/>
      <c r="D36" s="65"/>
      <c r="E36" s="52"/>
      <c r="F36" s="26" t="str">
        <f aca="false">IF(OR(D36="",C36=""),"",D36*IF(E36="",1,E36)*IF(C36="Per woning",Project!$C$29,1))</f>
        <v/>
      </c>
      <c r="G36" s="50"/>
    </row>
    <row r="37" customFormat="false" ht="15" hidden="false" customHeight="false" outlineLevel="0" collapsed="false">
      <c r="B37" s="61" t="s">
        <v>89</v>
      </c>
      <c r="F37" s="67" t="n">
        <f aca="false">SUM(F27:F36)</f>
        <v>2770</v>
      </c>
    </row>
    <row r="39" customFormat="false" ht="15" hidden="false" customHeight="false" outlineLevel="0" collapsed="false">
      <c r="B39" s="48" t="s">
        <v>90</v>
      </c>
    </row>
  </sheetData>
  <mergeCells count="3">
    <mergeCell ref="B1:G1"/>
    <mergeCell ref="B2:G2"/>
    <mergeCell ref="C4:G4"/>
  </mergeCells>
  <dataValidations count="1">
    <dataValidation allowBlank="true" errorStyle="stop" operator="between" showDropDown="false" showErrorMessage="false" showInputMessage="false" sqref="C27:C36" type="list">
      <formula1>"Per woning,Per project"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2026-10-22T08:25:54Z</dcterms:created>
  <dc:creator>openpyxl</dc:creator>
  <dc:description/>
  <dc:language>en-US</dc:language>
  <cp:lastModifiedBy/>
  <dcterms:modified xsi:type="dcterms:W3CDTF">2026-10-22T08:25:56Z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