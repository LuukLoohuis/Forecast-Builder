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ergelijking" sheetId="1" state="visible" r:id="rId3"/>
    <sheet name="Tarieven SWK" sheetId="2" state="visible" r:id="rId4"/>
    <sheet name="Tarieven Woningborg" sheetId="3" state="visible" r:id="rId5"/>
    <sheet name="Toelichting" sheetId="4" state="visible" r:id="rId6"/>
  </sheets>
  <definedNames>
    <definedName function="false" hidden="false" localSheetId="1" name="_xlnm.Print_Area" vbProcedure="false">'Tarieven SWK'!$A$1:$I$36</definedName>
    <definedName function="false" hidden="false" localSheetId="2" name="_xlnm.Print_Area" vbProcedure="false">'Tarieven Woningborg'!$A$1:$I$36</definedName>
    <definedName function="false" hidden="false" localSheetId="0" name="_xlnm.Print_Area" vbProcedure="false">Vergelijking!$A$1:$H$54</definedName>
    <definedName function="false" hidden="false" name="AanneemsomIncl" vbProcedure="false">Vergelijking!$D$15</definedName>
    <definedName function="false" hidden="false" name="AantalWoningen" vbProcedure="false">Vergelijking!$D$12</definedName>
    <definedName function="false" hidden="false" name="KeuzeBouwtijd" vbProcedure="false">Vergelijking!$H$13</definedName>
    <definedName function="false" hidden="false" name="KeuzeHoogbouw" vbProcedure="false">Vergelijking!$H$11</definedName>
    <definedName function="false" hidden="false" name="KeuzeZakelijk" vbProcedure="false">Vergelijking!$H$12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<sst xmlns="http://schemas.openxmlformats.org/spreadsheetml/2006/main" count="173" uniqueCount="106">
  <si>
    <t xml:space="preserve">HEIJMANS  |  VASTGOED</t>
  </si>
  <si>
    <t xml:space="preserve">Vergelijking SWK  vs.  Woningborg  |  Garantie- en Waarborgregeling</t>
  </si>
  <si>
    <t xml:space="preserve">Blauwe cijfers op geel = invoer  ·  Tarieven staan op de tabbladen 'Tarieven SWK' en 'Tarieven Woningborg'</t>
  </si>
  <si>
    <t xml:space="preserve">TOTAAL SWK</t>
  </si>
  <si>
    <t xml:space="preserve">TOTAAL WONINGBORG</t>
  </si>
  <si>
    <t xml:space="preserve">VERSCHIL</t>
  </si>
  <si>
    <t xml:space="preserve">VOORDELIGST</t>
  </si>
  <si>
    <t xml:space="preserve">PROJECT</t>
  </si>
  <si>
    <t xml:space="preserve">KEUZES</t>
  </si>
  <si>
    <t xml:space="preserve">Projectnaam</t>
  </si>
  <si>
    <t xml:space="preserve">Voorbeeldproject</t>
  </si>
  <si>
    <t xml:space="preserve">Hoogbouw (&gt; 13 bouwlagen)</t>
  </si>
  <si>
    <t xml:space="preserve">nee</t>
  </si>
  <si>
    <t xml:space="preserve">Aantal woningen</t>
  </si>
  <si>
    <t xml:space="preserve">Zakelijke opdrachtgever (verlengde garantie)</t>
  </si>
  <si>
    <t xml:space="preserve">Aanneemsom (excl. btw)</t>
  </si>
  <si>
    <t xml:space="preserve">Prognose bouwtijd &gt; 3 jaar</t>
  </si>
  <si>
    <t xml:space="preserve">Aanneemsom (incl. btw)</t>
  </si>
  <si>
    <t xml:space="preserve">KOSTENVERGELIJKING</t>
  </si>
  <si>
    <t xml:space="preserve">Kostenpost</t>
  </si>
  <si>
    <t xml:space="preserve">SWK</t>
  </si>
  <si>
    <t xml:space="preserve">Woningborg</t>
  </si>
  <si>
    <t xml:space="preserve">Verschil (WB − SWK)</t>
  </si>
  <si>
    <t xml:space="preserve">Voordeligst</t>
  </si>
  <si>
    <t xml:space="preserve">Provisie Sectie I (Afbouw)</t>
  </si>
  <si>
    <t xml:space="preserve">Provisie Sectie II (Kwaliteit)</t>
  </si>
  <si>
    <t xml:space="preserve">Opslagen</t>
  </si>
  <si>
    <t xml:space="preserve">Overige kosten</t>
  </si>
  <si>
    <t xml:space="preserve">Totaal kosten</t>
  </si>
  <si>
    <t xml:space="preserve">Kosten per woning</t>
  </si>
  <si>
    <t xml:space="preserve">In % van aanneemsom incl. btw</t>
  </si>
  <si>
    <t xml:space="preserve">Positief verschil = Woningborg duurder; negatief = Woningborg goedkoper. Bedragen zoals de tarieflijsten, excl. eventuele btw.</t>
  </si>
  <si>
    <t xml:space="preserve">CONTROLES</t>
  </si>
  <si>
    <t xml:space="preserve">AANDACHTSPUNTEN</t>
  </si>
  <si>
    <t xml:space="preserve">Invoer compleet</t>
  </si>
  <si>
    <t xml:space="preserve">• Woningborg-tarieven zijn voorbeeldwaarden tot ze zijn bevestigd.</t>
  </si>
  <si>
    <t xml:space="preserve">Keuzes geldig</t>
  </si>
  <si>
    <t xml:space="preserve">• Technische beoordeling (transformatie, &gt; 25 lagen) niet inbegrepen.</t>
  </si>
  <si>
    <t xml:space="preserve">Tarieven SWK bevestigd</t>
  </si>
  <si>
    <t xml:space="preserve">• Alleen volledige regeling; geen separaat verkochte parkeerplaatsen.</t>
  </si>
  <si>
    <t xml:space="preserve">Tarieven Woningborg bevestigd</t>
  </si>
  <si>
    <t xml:space="preserve">Tarieven SWK  |  Garantie- en Waarborgregeling</t>
  </si>
  <si>
    <t xml:space="preserve">Blauwe cijfers op geel = tarief/keuze aanpassen  ·  Lichtblauw = berekening (rekent met de invoer op 'Vergelijking')</t>
  </si>
  <si>
    <t xml:space="preserve">Bron / tarieflijst</t>
  </si>
  <si>
    <t xml:space="preserve">SWK Rekenmodel 2026 – Berekening Garantie- en Waarborgregeling</t>
  </si>
  <si>
    <t xml:space="preserve">Bevestigd?</t>
  </si>
  <si>
    <t xml:space="preserve">ja</t>
  </si>
  <si>
    <t xml:space="preserve">BASISPROVISIES</t>
  </si>
  <si>
    <t xml:space="preserve">Tarief</t>
  </si>
  <si>
    <t xml:space="preserve">Grondslag %</t>
  </si>
  <si>
    <t xml:space="preserve">Grondslag (€)</t>
  </si>
  <si>
    <t xml:space="preserve">Bedrag (€)</t>
  </si>
  <si>
    <t xml:space="preserve">Toelichting</t>
  </si>
  <si>
    <t xml:space="preserve">(grondslag = % van de aanneemsom incl. btw)</t>
  </si>
  <si>
    <t xml:space="preserve">Over 20% van de aanneemsom incl. btw</t>
  </si>
  <si>
    <t xml:space="preserve">Over de aanneemsom incl. btw</t>
  </si>
  <si>
    <t xml:space="preserve">OPSLAGEN</t>
  </si>
  <si>
    <t xml:space="preserve">Omschrijving</t>
  </si>
  <si>
    <t xml:space="preserve">Berekend over</t>
  </si>
  <si>
    <t xml:space="preserve">Van toepassing bij</t>
  </si>
  <si>
    <t xml:space="preserve">Actief</t>
  </si>
  <si>
    <t xml:space="preserve">Opslag hoogbouw</t>
  </si>
  <si>
    <t xml:space="preserve">Sectie II</t>
  </si>
  <si>
    <t xml:space="preserve">Hoogbouw</t>
  </si>
  <si>
    <t xml:space="preserve">&gt; 13 bouwlagen</t>
  </si>
  <si>
    <t xml:space="preserve">Opslag verlengde garantie zakelijk</t>
  </si>
  <si>
    <t xml:space="preserve">Zakelijk</t>
  </si>
  <si>
    <t xml:space="preserve">Alleen bij zakelijke opdrachtgever</t>
  </si>
  <si>
    <t xml:space="preserve">Opslag prognose bouwtijd &gt; 3 jaar</t>
  </si>
  <si>
    <t xml:space="preserve">Sectie I</t>
  </si>
  <si>
    <t xml:space="preserve">Bouwtijd &gt; 3 jaar</t>
  </si>
  <si>
    <t xml:space="preserve">Start bouw tot 1e oplevering</t>
  </si>
  <si>
    <t xml:space="preserve">Totaal</t>
  </si>
  <si>
    <t xml:space="preserve">OVERIGE KOSTEN</t>
  </si>
  <si>
    <t xml:space="preserve">Bedrag</t>
  </si>
  <si>
    <t xml:space="preserve">Per</t>
  </si>
  <si>
    <t xml:space="preserve">Aantal</t>
  </si>
  <si>
    <t xml:space="preserve">Bureaukosten, voorschot</t>
  </si>
  <si>
    <t xml:space="preserve">woning</t>
  </si>
  <si>
    <t xml:space="preserve">Altijd</t>
  </si>
  <si>
    <t xml:space="preserve">Voorschot per woning</t>
  </si>
  <si>
    <t xml:space="preserve">Totaal kosten SWK</t>
  </si>
  <si>
    <t xml:space="preserve">Tarieven Woningborg  |  Garantie- en Waarborgregeling</t>
  </si>
  <si>
    <t xml:space="preserve">VOORBEELD – vul hier de actuele Woningborg-tarieflijst in</t>
  </si>
  <si>
    <t xml:space="preserve">⚠  VOORBEELDTARIEVEN – dit zijn géén officiële Woningborg-tarieven. Vervang ze en zet 'Bevestigd' op ja.</t>
  </si>
  <si>
    <t xml:space="preserve">Provisie insolventiedeel / afbouw</t>
  </si>
  <si>
    <t xml:space="preserve">VOORBEELDWAARDE – controleren</t>
  </si>
  <si>
    <t xml:space="preserve">Provisie herstel-/kwaliteitsdeel</t>
  </si>
  <si>
    <t xml:space="preserve">Opslag zakelijke opdrachtgever</t>
  </si>
  <si>
    <t xml:space="preserve">Opslag lange bouwtijd</t>
  </si>
  <si>
    <t xml:space="preserve">Registratie-/bureaukosten</t>
  </si>
  <si>
    <t xml:space="preserve">Totaal kosten Woningborg</t>
  </si>
  <si>
    <t xml:space="preserve">Hoe werkt deze vergelijking?</t>
  </si>
  <si>
    <t xml:space="preserve">1</t>
  </si>
  <si>
    <t xml:space="preserve">Vul op 'Vergelijking' het project in: aantal woningen, aanneemsom excl. btw, btw-% en de drie keuzes (ja/nee).</t>
  </si>
  <si>
    <t xml:space="preserve">2</t>
  </si>
  <si>
    <t xml:space="preserve">Controleer op 'Tarieven SWK' en 'Tarieven Woningborg' de percentages en bedragen; zet 'Bevestigd' op ja als ze kloppen.</t>
  </si>
  <si>
    <t xml:space="preserve">3</t>
  </si>
  <si>
    <t xml:space="preserve">Opslagen: kies waarover ze worden berekend (Sectie I, Sectie II of aanneemsom) en wanneer ze gelden (Altijd, of gekoppeld aan een keuze).</t>
  </si>
  <si>
    <t xml:space="preserve">4</t>
  </si>
  <si>
    <t xml:space="preserve">Overige kosten: bedrag per woning of per project, eventueel gekoppeld aan een keuze.</t>
  </si>
  <si>
    <t xml:space="preserve">i</t>
  </si>
  <si>
    <t xml:space="preserve">SWK-tarieven zijn overgenomen uit het rekenmodel 2026 (Sectie I 0,5198% over 20%, Sectie II 0,0380%, opslagen 30,3% / 10% / 10%, bureaukosten € 750).</t>
  </si>
  <si>
    <t xml:space="preserve">!</t>
  </si>
  <si>
    <t xml:space="preserve">Woningborg-tarieven zijn VOORBEELDWAARDEN in dezelfde opbouw, geen officiële tarieven. De controle op 'Vergelijking' blijft rood tot ze bevestigd zijn.</t>
  </si>
  <si>
    <t xml:space="preserve">Sectie I/II zijn SWK-termen; gebruik bij Woningborg de twee basisregels voor hun equivalent (insolventie-/afbouwdeel en herstel-/kwaliteitsdeel).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</si>
</sst>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&quot;€ &quot;#,##0;[RED]&quot;(€ &quot;#,##0\);\-"/>
    <numFmt numFmtId="166" formatCode="#,##0"/>
    <numFmt numFmtId="167" formatCode="0%"/>
    <numFmt numFmtId="168" formatCode="0.00%"/>
    <numFmt numFmtId="169" formatCode="&quot;€ &quot;#,##0"/>
    <numFmt numFmtId="170" formatCode="0.0000%"/>
    <numFmt numFmtId="171" formatCode="0.0%"/>
  </numFmts>
  <fonts count="2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EB900"/>
      <name val="Arial"/>
      <family val="0"/>
      <charset val="1"/>
    </font>
    <font>
      <b val="true"/>
      <sz val="16"/>
      <color rgb="FF111F39"/>
      <name val="Arial"/>
      <family val="0"/>
      <charset val="1"/>
    </font>
    <font>
      <i val="true"/>
      <sz val="9"/>
      <color rgb="FF4A4F55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8"/>
      <color rgb="FF003B5C"/>
      <name val="Arial"/>
      <family val="0"/>
      <charset val="1"/>
    </font>
    <font>
      <b val="true"/>
      <sz val="18"/>
      <color rgb="FFC98A00"/>
      <name val="Arial"/>
      <family val="0"/>
      <charset val="1"/>
    </font>
    <font>
      <b val="true"/>
      <sz val="18"/>
      <color rgb="FF111F3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111F39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111F39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1"/>
      <color rgb="FF111F39"/>
      <name val="Arial"/>
      <family val="0"/>
      <charset val="1"/>
    </font>
    <font>
      <b val="true"/>
      <sz val="11"/>
      <name val="Arial"/>
      <family val="0"/>
      <charset val="1"/>
    </font>
    <font>
      <sz val="9"/>
      <color rgb="FF4A4F55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name val="Arial"/>
      <family val="0"/>
      <charset val="1"/>
    </font>
    <font>
      <i val="true"/>
      <sz val="8"/>
      <color rgb="FF4A4F55"/>
      <name val="Arial"/>
      <family val="0"/>
      <charset val="1"/>
    </font>
    <font>
      <sz val="10"/>
      <color rgb="FF4A4F55"/>
      <name val="Arial"/>
      <family val="0"/>
      <charset val="1"/>
    </font>
    <font>
      <sz val="10"/>
      <color rgb="FF0000FF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11F39"/>
        <bgColor rgb="FF003300"/>
      </patternFill>
    </fill>
    <fill>
      <patternFill patternType="solid">
        <fgColor rgb="FFFEB900"/>
        <bgColor rgb="FFC98A00"/>
      </patternFill>
    </fill>
    <fill>
      <patternFill patternType="solid">
        <fgColor rgb="FF003B5C"/>
        <bgColor rgb="FF111F39"/>
      </patternFill>
    </fill>
    <fill>
      <patternFill patternType="solid">
        <fgColor rgb="FFC98A00"/>
        <bgColor rgb="FFFF6600"/>
      </patternFill>
    </fill>
    <fill>
      <patternFill patternType="solid">
        <fgColor rgb="FFEAF3F8"/>
        <bgColor rgb="FFFFFFFF"/>
      </patternFill>
    </fill>
    <fill>
      <patternFill patternType="solid">
        <fgColor rgb="FFFFF3C4"/>
        <bgColor rgb="FFFFFF99"/>
      </patternFill>
    </fill>
    <fill>
      <patternFill patternType="solid">
        <fgColor rgb="FFC0392B"/>
        <bgColor rgb="FF993366"/>
      </patternFill>
    </fill>
  </fills>
  <borders count="6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003B5C"/>
      </bottom>
      <diagonal/>
    </border>
    <border diagonalUp="false" diagonalDown="false">
      <left/>
      <right/>
      <top/>
      <bottom style="medium">
        <color rgb="FFC98A00"/>
      </bottom>
      <diagonal/>
    </border>
    <border diagonalUp="false" diagonalDown="false">
      <left/>
      <right/>
      <top/>
      <bottom style="thin">
        <color rgb="FFD0D5DD"/>
      </bottom>
      <diagonal/>
    </border>
    <border diagonalUp="false" diagonalDown="false">
      <left/>
      <right/>
      <top/>
      <bottom style="medium">
        <color rgb="FF111F39"/>
      </bottom>
      <diagonal/>
    </border>
    <border diagonalUp="false" diagonalDown="false">
      <left/>
      <right/>
      <top style="medium">
        <color rgb="FF111F39"/>
      </top>
      <bottom style="medium">
        <color rgb="FF111F3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7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3" fillId="7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3" fillId="7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3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6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16" fillId="6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5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6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4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3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20" fillId="3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5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3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4" fillId="6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4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4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13" fillId="7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3" fillId="7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27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8" fillId="7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13" fillId="7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7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8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1" fillId="5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ont>
        <b val="1"/>
        <color rgb="FF003B5C"/>
      </font>
    </dxf>
    <dxf>
      <font>
        <b val="1"/>
        <color rgb="FFC98A00"/>
      </font>
    </dxf>
    <dxf>
      <font>
        <b val="1"/>
        <color rgb="FFFFFFFF"/>
      </font>
      <fill>
        <patternFill>
          <bgColor rgb="FF003B5C"/>
        </patternFill>
      </fill>
    </dxf>
    <dxf>
      <font>
        <b val="1"/>
        <color rgb="FFFFFFFF"/>
      </font>
      <fill>
        <patternFill>
          <bgColor rgb="FFC98A00"/>
        </patternFill>
      </fill>
    </dxf>
    <dxf>
      <font>
        <color rgb="FF38761D"/>
      </font>
    </dxf>
    <dxf>
      <fill>
        <patternFill>
          <bgColor rgb="FFD9EAD3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78787"/>
      <rgbColor rgb="FF9999FF"/>
      <rgbColor rgb="FF993366"/>
      <rgbColor rgb="FFFFF3C4"/>
      <rgbColor rgb="FFEAF3F8"/>
      <rgbColor rgb="FF660066"/>
      <rgbColor rgb="FFFF8080"/>
      <rgbColor rgb="FF0066CC"/>
      <rgbColor rgb="FFD0D5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EB900"/>
      <rgbColor rgb="FFC98A00"/>
      <rgbColor rgb="FFFF6600"/>
      <rgbColor rgb="FF4A4F55"/>
      <rgbColor rgb="FF969696"/>
      <rgbColor rgb="FF003B5C"/>
      <rgbColor rgb="FF38761D"/>
      <rgbColor rgb="FF003300"/>
      <rgbColor rgb="FF333300"/>
      <rgbColor rgb="FFC0392B"/>
      <rgbColor rgb="FF993366"/>
      <rgbColor rgb="FF333399"/>
      <rgbColor rgb="FF111F3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Kosten per post (excl. btw)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Vergelijking!C19</c:f>
              <c:strCache>
                <c:ptCount val="1"/>
                <c:pt idx="0">
                  <c:v>SWK</c:v>
                </c:pt>
              </c:strCache>
            </c:strRef>
          </c:tx>
          <c:spPr>
            <a:solidFill>
              <a:srgbClr val="003b5c"/>
            </a:solidFill>
            <a:ln w="0">
              <a:solidFill>
                <a:srgbClr val="003b5c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Vergelijking!$B$20:$B$23</c:f>
              <c:strCache>
                <c:ptCount val="4"/>
                <c:pt idx="0">
                  <c:v>Provisie Sectie I (Afbouw)</c:v>
                </c:pt>
                <c:pt idx="1">
                  <c:v>Provisie Sectie II (Kwaliteit)</c:v>
                </c:pt>
                <c:pt idx="2">
                  <c:v>Opslagen</c:v>
                </c:pt>
                <c:pt idx="3">
                  <c:v>Overige kosten</c:v>
                </c:pt>
              </c:strCache>
            </c:strRef>
          </c:cat>
          <c:val>
            <c:numRef>
              <c:f>Vergelijking!$C$20:$C$23</c:f>
              <c:numCache>
                <c:formatCode>"€ "#,##0;[RED]"(€ "#,##0\);\-</c:formatCode>
                <c:ptCount val="4"/>
                <c:pt idx="0">
                  <c:v>528.32472</c:v>
                </c:pt>
                <c:pt idx="1">
                  <c:v>193.116</c:v>
                </c:pt>
                <c:pt idx="2">
                  <c:v>0</c:v>
                </c:pt>
                <c:pt idx="3">
                  <c:v>750</c:v>
                </c:pt>
              </c:numCache>
            </c:numRef>
          </c:val>
        </c:ser>
        <c:ser>
          <c:idx val="1"/>
          <c:order val="1"/>
          <c:tx>
            <c:strRef>
              <c:f>Vergelijking!D19</c:f>
              <c:strCache>
                <c:ptCount val="1"/>
                <c:pt idx="0">
                  <c:v>Woningborg</c:v>
                </c:pt>
              </c:strCache>
            </c:strRef>
          </c:tx>
          <c:spPr>
            <a:solidFill>
              <a:srgbClr val="c98a00"/>
            </a:solidFill>
            <a:ln w="0">
              <a:solidFill>
                <a:srgbClr val="c98a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Vergelijking!$B$20:$B$23</c:f>
              <c:strCache>
                <c:ptCount val="4"/>
                <c:pt idx="0">
                  <c:v>Provisie Sectie I (Afbouw)</c:v>
                </c:pt>
                <c:pt idx="1">
                  <c:v>Provisie Sectie II (Kwaliteit)</c:v>
                </c:pt>
                <c:pt idx="2">
                  <c:v>Opslagen</c:v>
                </c:pt>
                <c:pt idx="3">
                  <c:v>Overige kosten</c:v>
                </c:pt>
              </c:strCache>
            </c:strRef>
          </c:cat>
          <c:val>
            <c:numRef>
              <c:f>Vergelijking!$D$20:$D$23</c:f>
              <c:numCache>
                <c:formatCode>"€ "#,##0;[RED]"(€ "#,##0\);\-</c:formatCode>
                <c:ptCount val="4"/>
                <c:pt idx="0">
                  <c:v>508.2</c:v>
                </c:pt>
                <c:pt idx="1">
                  <c:v>203.28</c:v>
                </c:pt>
                <c:pt idx="2">
                  <c:v>0</c:v>
                </c:pt>
                <c:pt idx="3">
                  <c:v>700</c:v>
                </c:pt>
              </c:numCache>
            </c:numRef>
          </c:val>
        </c:ser>
        <c:gapWidth val="150"/>
        <c:overlap val="0"/>
        <c:axId val="84445910"/>
        <c:axId val="47069330"/>
      </c:barChart>
      <c:catAx>
        <c:axId val="84445910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069330"/>
        <c:crosses val="autoZero"/>
        <c:auto val="1"/>
        <c:lblAlgn val="ctr"/>
        <c:lblOffset val="100"/>
        <c:noMultiLvlLbl val="0"/>
      </c:catAx>
      <c:valAx>
        <c:axId val="47069330"/>
        <c:scaling>
          <c:orientation val="minMax"/>
        </c:scaling>
        <c:delete val="0"/>
        <c:axPos val="l"/>
        <c:numFmt formatCode="&quot;€ &quot;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44591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38</xdr:row>
      <xdr:rowOff>0</xdr:rowOff>
    </xdr:from>
    <xdr:to>
      <xdr:col>6</xdr:col>
      <xdr:colOff>2014200</xdr:colOff>
      <xdr:row>51</xdr:row>
      <xdr:rowOff>42840</xdr:rowOff>
    </xdr:to>
    <xdr:graphicFrame>
      <xdr:nvGraphicFramePr>
        <xdr:cNvPr id="0" name="Chart 1"/>
        <xdr:cNvGraphicFramePr/>
      </xdr:nvGraphicFramePr>
      <xdr:xfrm>
        <a:off x="141120" y="9296280"/>
        <a:ext cx="86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EB900"/>
    <pageSetUpPr fitToPage="true"/>
  </sheetPr>
  <dimension ref="B1:H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20"/>
    <col collapsed="false" customWidth="true" hidden="false" outlineLevel="0" max="6" min="6" style="0" width="4"/>
    <col collapsed="false" customWidth="true" hidden="false" outlineLevel="0" max="7" min="7" style="0" width="40"/>
    <col collapsed="false" customWidth="true" hidden="false" outlineLevel="0" max="8" min="8" style="0" width="16"/>
  </cols>
  <sheetData>
    <row r="1" customFormat="false" ht="25.5" hidden="false" customHeight="true" outlineLevel="0" collapsed="false">
      <c r="B1" s="1" t="s">
        <v>0</v>
      </c>
      <c r="C1" s="1"/>
      <c r="D1" s="1"/>
      <c r="E1" s="1"/>
      <c r="F1" s="1"/>
      <c r="G1" s="1"/>
      <c r="H1" s="1"/>
    </row>
    <row r="2" customFormat="false" ht="31.5" hidden="false" customHeight="true" outlineLevel="0" collapsed="false">
      <c r="B2" s="2" t="s">
        <v>1</v>
      </c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B3" s="3" t="s">
        <v>2</v>
      </c>
      <c r="C3" s="3"/>
      <c r="D3" s="3"/>
      <c r="E3" s="3"/>
      <c r="F3" s="3"/>
      <c r="G3" s="3"/>
      <c r="H3" s="3"/>
    </row>
    <row r="4" customFormat="false" ht="18.75" hidden="false" customHeight="true" outlineLevel="0" collapsed="false">
      <c r="B4" s="4"/>
      <c r="C4" s="4"/>
      <c r="D4" s="4"/>
      <c r="E4" s="4"/>
      <c r="F4" s="4"/>
      <c r="G4" s="4"/>
      <c r="H4" s="4"/>
    </row>
    <row r="5" customFormat="false" ht="18.75" hidden="false" customHeight="true" outlineLevel="0" collapsed="false">
      <c r="B5" s="5" t="s">
        <v>3</v>
      </c>
      <c r="C5" s="6" t="s">
        <v>4</v>
      </c>
      <c r="D5" s="6"/>
      <c r="E5" s="7" t="s">
        <v>5</v>
      </c>
      <c r="F5" s="7"/>
      <c r="G5" s="7" t="s">
        <v>6</v>
      </c>
      <c r="H5" s="7"/>
    </row>
    <row r="6" customFormat="false" ht="18.75" hidden="false" customHeight="true" outlineLevel="0" collapsed="false">
      <c r="B6" s="8" t="n">
        <f aca="false">C25</f>
        <v>1471.44072</v>
      </c>
      <c r="C6" s="9" t="n">
        <f aca="false">D25</f>
        <v>1411.48</v>
      </c>
      <c r="D6" s="9"/>
      <c r="E6" s="10" t="n">
        <f aca="false">ABS(E25)</f>
        <v>59.96072</v>
      </c>
      <c r="F6" s="10"/>
      <c r="G6" s="11" t="str">
        <f aca="false">IF(C25=D25,"Gelijk",IF(C25&lt;D25,"SWK","Woningborg"))</f>
        <v>Woningborg</v>
      </c>
      <c r="H6" s="11"/>
    </row>
    <row r="7" customFormat="false" ht="18.75" hidden="false" customHeight="true" outlineLevel="0" collapsed="false">
      <c r="B7" s="8"/>
      <c r="C7" s="9"/>
      <c r="D7" s="9"/>
      <c r="E7" s="10"/>
      <c r="F7" s="10"/>
      <c r="G7" s="11"/>
      <c r="H7" s="11"/>
    </row>
    <row r="8" customFormat="false" ht="18.75" hidden="false" customHeight="true" outlineLevel="0" collapsed="false">
      <c r="B8" s="4"/>
      <c r="C8" s="4"/>
      <c r="D8" s="4"/>
      <c r="E8" s="12" t="str">
        <f aca="false">IF(MAX(C25:D25)=0,"",TEXT(ABS(E25)/MAX(C25:D25),"0.0%")&amp;" goedkoper")</f>
        <v>4.1% goedkoper</v>
      </c>
      <c r="F8" s="4"/>
      <c r="G8" s="4"/>
      <c r="H8" s="4"/>
    </row>
    <row r="9" customFormat="false" ht="18.75" hidden="false" customHeight="true" outlineLevel="0" collapsed="false">
      <c r="B9" s="4"/>
      <c r="C9" s="4"/>
      <c r="D9" s="4"/>
      <c r="E9" s="4"/>
      <c r="F9" s="4"/>
      <c r="G9" s="4"/>
      <c r="H9" s="4"/>
    </row>
    <row r="10" customFormat="false" ht="19.5" hidden="false" customHeight="true" outlineLevel="0" collapsed="false">
      <c r="B10" s="13" t="s">
        <v>7</v>
      </c>
      <c r="C10" s="13"/>
      <c r="D10" s="13"/>
      <c r="E10" s="4"/>
      <c r="F10" s="4"/>
      <c r="G10" s="13" t="s">
        <v>8</v>
      </c>
      <c r="H10" s="13"/>
    </row>
    <row r="11" customFormat="false" ht="18.75" hidden="false" customHeight="true" outlineLevel="0" collapsed="false">
      <c r="B11" s="14" t="s">
        <v>9</v>
      </c>
      <c r="C11" s="15" t="s">
        <v>10</v>
      </c>
      <c r="D11" s="15"/>
      <c r="E11" s="4"/>
      <c r="F11" s="4"/>
      <c r="G11" s="14" t="s">
        <v>11</v>
      </c>
      <c r="H11" s="16" t="s">
        <v>12</v>
      </c>
    </row>
    <row r="12" customFormat="false" ht="18.75" hidden="false" customHeight="true" outlineLevel="0" collapsed="false">
      <c r="B12" s="14" t="s">
        <v>13</v>
      </c>
      <c r="C12" s="4"/>
      <c r="D12" s="17" t="n">
        <v>1</v>
      </c>
      <c r="E12" s="4"/>
      <c r="F12" s="4"/>
      <c r="G12" s="14" t="s">
        <v>14</v>
      </c>
      <c r="H12" s="16" t="s">
        <v>12</v>
      </c>
    </row>
    <row r="13" customFormat="false" ht="18.75" hidden="false" customHeight="true" outlineLevel="0" collapsed="false">
      <c r="B13" s="14" t="s">
        <v>15</v>
      </c>
      <c r="C13" s="4"/>
      <c r="D13" s="18" t="n">
        <v>420000</v>
      </c>
      <c r="E13" s="4"/>
      <c r="F13" s="4"/>
      <c r="G13" s="14" t="s">
        <v>16</v>
      </c>
      <c r="H13" s="16" t="s">
        <v>12</v>
      </c>
    </row>
    <row r="14" customFormat="false" ht="18.75" hidden="false" customHeight="true" outlineLevel="0" collapsed="false">
      <c r="B14" s="14" t="str">
        <f aca="false">"Btw ("&amp;TEXT(C14,"0%")&amp;")"</f>
        <v>Btw (21%)</v>
      </c>
      <c r="C14" s="19" t="n">
        <v>0.21</v>
      </c>
      <c r="D14" s="20" t="n">
        <f aca="false">D13*C14</f>
        <v>88200</v>
      </c>
      <c r="E14" s="4"/>
      <c r="F14" s="4"/>
      <c r="G14" s="4"/>
      <c r="H14" s="4"/>
    </row>
    <row r="15" customFormat="false" ht="18.75" hidden="false" customHeight="true" outlineLevel="0" collapsed="false">
      <c r="B15" s="21" t="s">
        <v>17</v>
      </c>
      <c r="C15" s="4"/>
      <c r="D15" s="22" t="n">
        <f aca="false">D13+D14</f>
        <v>508200</v>
      </c>
      <c r="E15" s="4"/>
      <c r="F15" s="4"/>
      <c r="G15" s="4"/>
      <c r="H15" s="4"/>
    </row>
    <row r="16" customFormat="false" ht="18.75" hidden="false" customHeight="true" outlineLevel="0" collapsed="false">
      <c r="B16" s="4"/>
      <c r="C16" s="4"/>
      <c r="D16" s="4"/>
      <c r="E16" s="4"/>
      <c r="F16" s="4"/>
      <c r="G16" s="4"/>
      <c r="H16" s="4"/>
    </row>
    <row r="17" customFormat="false" ht="18.75" hidden="false" customHeight="true" outlineLevel="0" collapsed="false">
      <c r="B17" s="4"/>
      <c r="C17" s="4"/>
      <c r="D17" s="4"/>
      <c r="E17" s="4"/>
      <c r="F17" s="4"/>
      <c r="G17" s="4"/>
      <c r="H17" s="4"/>
    </row>
    <row r="18" customFormat="false" ht="19.5" hidden="false" customHeight="true" outlineLevel="0" collapsed="false">
      <c r="B18" s="13" t="s">
        <v>18</v>
      </c>
      <c r="C18" s="13"/>
      <c r="D18" s="13"/>
      <c r="E18" s="13"/>
      <c r="F18" s="13"/>
      <c r="G18" s="13"/>
      <c r="H18" s="13"/>
    </row>
    <row r="19" customFormat="false" ht="18.75" hidden="false" customHeight="true" outlineLevel="0" collapsed="false">
      <c r="B19" s="23" t="s">
        <v>19</v>
      </c>
      <c r="C19" s="24" t="s">
        <v>20</v>
      </c>
      <c r="D19" s="25" t="s">
        <v>21</v>
      </c>
      <c r="E19" s="26" t="s">
        <v>22</v>
      </c>
      <c r="F19" s="27"/>
      <c r="G19" s="27" t="s">
        <v>23</v>
      </c>
      <c r="H19" s="27"/>
    </row>
    <row r="20" customFormat="false" ht="18.75" hidden="false" customHeight="true" outlineLevel="0" collapsed="false">
      <c r="B20" s="14" t="s">
        <v>24</v>
      </c>
      <c r="C20" s="28" t="n">
        <f aca="false">'Tarieven SWK'!G12</f>
        <v>528.32472</v>
      </c>
      <c r="D20" s="28" t="n">
        <f aca="false">'Tarieven Woningborg'!G12</f>
        <v>508.2</v>
      </c>
      <c r="E20" s="29" t="n">
        <f aca="false">D20-C20</f>
        <v>-20.1247200000001</v>
      </c>
      <c r="F20" s="4"/>
      <c r="G20" s="30" t="str">
        <f aca="false">IF(C20=D20,"–",IF(C20&lt;D20,"SWK","Woningborg"))</f>
        <v>Woningborg</v>
      </c>
      <c r="H20" s="4"/>
    </row>
    <row r="21" customFormat="false" ht="18.75" hidden="false" customHeight="true" outlineLevel="0" collapsed="false">
      <c r="B21" s="14" t="s">
        <v>25</v>
      </c>
      <c r="C21" s="28" t="n">
        <f aca="false">'Tarieven SWK'!G13</f>
        <v>193.116</v>
      </c>
      <c r="D21" s="28" t="n">
        <f aca="false">'Tarieven Woningborg'!G13</f>
        <v>203.28</v>
      </c>
      <c r="E21" s="29" t="n">
        <f aca="false">D21-C21</f>
        <v>10.164</v>
      </c>
      <c r="F21" s="4"/>
      <c r="G21" s="30" t="str">
        <f aca="false">IF(C21=D21,"–",IF(C21&lt;D21,"SWK","Woningborg"))</f>
        <v>SWK</v>
      </c>
      <c r="H21" s="4"/>
    </row>
    <row r="22" customFormat="false" ht="18.75" hidden="false" customHeight="true" outlineLevel="0" collapsed="false">
      <c r="B22" s="14" t="s">
        <v>26</v>
      </c>
      <c r="C22" s="28" t="n">
        <f aca="false">'Tarieven SWK'!H23</f>
        <v>0</v>
      </c>
      <c r="D22" s="28" t="n">
        <f aca="false">'Tarieven Woningborg'!H23</f>
        <v>0</v>
      </c>
      <c r="E22" s="29" t="n">
        <f aca="false">D22-C22</f>
        <v>0</v>
      </c>
      <c r="F22" s="4"/>
      <c r="G22" s="30" t="str">
        <f aca="false">IF(C22=D22,"–",IF(C22&lt;D22,"SWK","Woningborg"))</f>
        <v>–</v>
      </c>
      <c r="H22" s="4"/>
    </row>
    <row r="23" customFormat="false" ht="18.75" hidden="false" customHeight="true" outlineLevel="0" collapsed="false">
      <c r="B23" s="14" t="s">
        <v>27</v>
      </c>
      <c r="C23" s="28" t="n">
        <f aca="false">'Tarieven SWK'!H33</f>
        <v>750</v>
      </c>
      <c r="D23" s="28" t="n">
        <f aca="false">'Tarieven Woningborg'!H33</f>
        <v>700</v>
      </c>
      <c r="E23" s="29" t="n">
        <f aca="false">D23-C23</f>
        <v>-50</v>
      </c>
      <c r="F23" s="4"/>
      <c r="G23" s="30" t="str">
        <f aca="false">IF(C23=D23,"–",IF(C23&lt;D23,"SWK","Woningborg"))</f>
        <v>Woningborg</v>
      </c>
      <c r="H23" s="4"/>
    </row>
    <row r="24" customFormat="false" ht="18.75" hidden="false" customHeight="true" outlineLevel="0" collapsed="false">
      <c r="B24" s="4"/>
      <c r="C24" s="4"/>
      <c r="D24" s="4"/>
      <c r="E24" s="4"/>
      <c r="F24" s="4"/>
      <c r="G24" s="4"/>
      <c r="H24" s="4"/>
    </row>
    <row r="25" customFormat="false" ht="24" hidden="false" customHeight="true" outlineLevel="0" collapsed="false">
      <c r="B25" s="31" t="s">
        <v>28</v>
      </c>
      <c r="C25" s="32" t="n">
        <f aca="false">SUM(C20:C23)</f>
        <v>1471.44072</v>
      </c>
      <c r="D25" s="32" t="n">
        <f aca="false">SUM(D20:D23)</f>
        <v>1411.48</v>
      </c>
      <c r="E25" s="32" t="n">
        <f aca="false">D25-C25</f>
        <v>-59.96072</v>
      </c>
      <c r="F25" s="33"/>
      <c r="G25" s="34" t="str">
        <f aca="false">IF(C25=D25,"–",IF(C25&lt;D25,"SWK","Woningborg"))</f>
        <v>Woningborg</v>
      </c>
      <c r="H25" s="33"/>
    </row>
    <row r="26" customFormat="false" ht="18.75" hidden="false" customHeight="true" outlineLevel="0" collapsed="false">
      <c r="B26" s="35" t="s">
        <v>29</v>
      </c>
      <c r="C26" s="20" t="n">
        <f aca="false">IFERROR(C25/AantalWoningen,0)</f>
        <v>1471.44072</v>
      </c>
      <c r="D26" s="20" t="n">
        <f aca="false">IFERROR(D25/AantalWoningen,0)</f>
        <v>1411.48</v>
      </c>
      <c r="E26" s="29" t="n">
        <f aca="false">D26-C26</f>
        <v>-59.96072</v>
      </c>
      <c r="F26" s="4"/>
      <c r="G26" s="4"/>
      <c r="H26" s="4"/>
    </row>
    <row r="27" customFormat="false" ht="18.75" hidden="false" customHeight="true" outlineLevel="0" collapsed="false">
      <c r="B27" s="35" t="s">
        <v>30</v>
      </c>
      <c r="C27" s="36" t="n">
        <f aca="false">IFERROR(C25/AanneemsomIncl,0)</f>
        <v>0.00289539693034239</v>
      </c>
      <c r="D27" s="36" t="n">
        <f aca="false">IFERROR(D25/AanneemsomIncl,0)</f>
        <v>0.00277741046831956</v>
      </c>
      <c r="E27" s="37" t="n">
        <f aca="false">D27-C27</f>
        <v>-0.000117986462022825</v>
      </c>
      <c r="F27" s="4"/>
      <c r="G27" s="4"/>
      <c r="H27" s="4"/>
    </row>
    <row r="28" customFormat="false" ht="18.75" hidden="false" customHeight="true" outlineLevel="0" collapsed="false">
      <c r="B28" s="38" t="s">
        <v>31</v>
      </c>
      <c r="C28" s="4"/>
      <c r="D28" s="4"/>
      <c r="E28" s="4"/>
      <c r="F28" s="4"/>
      <c r="G28" s="4"/>
      <c r="H28" s="4"/>
    </row>
    <row r="29" customFormat="false" ht="18.75" hidden="false" customHeight="true" outlineLevel="0" collapsed="false">
      <c r="B29" s="4"/>
      <c r="C29" s="4"/>
      <c r="D29" s="4"/>
      <c r="E29" s="4"/>
      <c r="F29" s="4"/>
      <c r="G29" s="4"/>
      <c r="H29" s="4"/>
    </row>
    <row r="30" customFormat="false" ht="18.75" hidden="false" customHeight="true" outlineLevel="0" collapsed="false">
      <c r="B30" s="4"/>
      <c r="C30" s="4"/>
      <c r="D30" s="4"/>
      <c r="E30" s="4"/>
      <c r="F30" s="4"/>
      <c r="G30" s="4"/>
      <c r="H30" s="4"/>
    </row>
    <row r="31" customFormat="false" ht="18.75" hidden="false" customHeight="true" outlineLevel="0" collapsed="false">
      <c r="B31" s="4"/>
      <c r="C31" s="4"/>
      <c r="D31" s="4"/>
      <c r="E31" s="4"/>
      <c r="F31" s="4"/>
      <c r="G31" s="4"/>
      <c r="H31" s="4"/>
    </row>
    <row r="32" customFormat="false" ht="19.5" hidden="false" customHeight="true" outlineLevel="0" collapsed="false">
      <c r="B32" s="13" t="s">
        <v>32</v>
      </c>
      <c r="C32" s="13"/>
      <c r="D32" s="13"/>
      <c r="E32" s="4"/>
      <c r="F32" s="4"/>
      <c r="G32" s="13" t="s">
        <v>33</v>
      </c>
      <c r="H32" s="13"/>
    </row>
    <row r="33" customFormat="false" ht="18.75" hidden="false" customHeight="true" outlineLevel="0" collapsed="false">
      <c r="B33" s="39" t="s">
        <v>34</v>
      </c>
      <c r="C33" s="40"/>
      <c r="D33" s="41" t="str">
        <f aca="false">IF(AND(D13&gt;0,D12&gt;0),"OK","AANVULLEN")</f>
        <v>OK</v>
      </c>
      <c r="E33" s="4"/>
      <c r="F33" s="4"/>
      <c r="G33" s="42" t="s">
        <v>35</v>
      </c>
      <c r="H33" s="42"/>
    </row>
    <row r="34" customFormat="false" ht="18.75" hidden="false" customHeight="true" outlineLevel="0" collapsed="false">
      <c r="B34" s="39" t="s">
        <v>36</v>
      </c>
      <c r="C34" s="40"/>
      <c r="D34" s="41" t="str">
        <f aca="false">IF(AND(OR(H11="ja",H11="nee"),OR(H12="ja",H12="nee"),OR(H13="ja",H13="nee")),"OK","CONTROLEREN")</f>
        <v>OK</v>
      </c>
      <c r="E34" s="4"/>
      <c r="F34" s="4"/>
      <c r="G34" s="42" t="s">
        <v>37</v>
      </c>
      <c r="H34" s="42"/>
    </row>
    <row r="35" customFormat="false" ht="18.75" hidden="false" customHeight="true" outlineLevel="0" collapsed="false">
      <c r="B35" s="39" t="s">
        <v>38</v>
      </c>
      <c r="C35" s="40"/>
      <c r="D35" s="41" t="str">
        <f aca="false">'Tarieven SWK'!H5</f>
        <v>OK</v>
      </c>
      <c r="E35" s="4"/>
      <c r="F35" s="4"/>
      <c r="G35" s="42" t="s">
        <v>39</v>
      </c>
      <c r="H35" s="42"/>
    </row>
    <row r="36" customFormat="false" ht="18.75" hidden="false" customHeight="true" outlineLevel="0" collapsed="false">
      <c r="B36" s="39" t="s">
        <v>40</v>
      </c>
      <c r="C36" s="40"/>
      <c r="D36" s="41" t="str">
        <f aca="false">'Tarieven Woningborg'!H5</f>
        <v>CONTROLEREN</v>
      </c>
      <c r="E36" s="4"/>
      <c r="F36" s="4"/>
      <c r="G36" s="4"/>
      <c r="H36" s="4"/>
    </row>
    <row r="37" customFormat="false" ht="18.75" hidden="false" customHeight="true" outlineLevel="0" collapsed="false">
      <c r="B37" s="4"/>
      <c r="C37" s="4"/>
      <c r="D37" s="4"/>
      <c r="E37" s="4"/>
      <c r="F37" s="4"/>
      <c r="G37" s="4"/>
      <c r="H37" s="4"/>
    </row>
  </sheetData>
  <mergeCells count="19">
    <mergeCell ref="B1:H1"/>
    <mergeCell ref="B2:H2"/>
    <mergeCell ref="B3:H3"/>
    <mergeCell ref="C5:D5"/>
    <mergeCell ref="E5:F5"/>
    <mergeCell ref="G5:H5"/>
    <mergeCell ref="B6:B7"/>
    <mergeCell ref="C6:D7"/>
    <mergeCell ref="E6:F7"/>
    <mergeCell ref="G6:H7"/>
    <mergeCell ref="B10:D10"/>
    <mergeCell ref="G10:H10"/>
    <mergeCell ref="C11:D11"/>
    <mergeCell ref="B18:H18"/>
    <mergeCell ref="B32:D32"/>
    <mergeCell ref="G32:H32"/>
    <mergeCell ref="G33:H33"/>
    <mergeCell ref="G34:H34"/>
    <mergeCell ref="G35:H35"/>
  </mergeCells>
  <conditionalFormatting sqref="G6">
    <cfRule type="expression" priority="2" aboveAverage="0" equalAverage="0" bottom="0" percent="0" rank="0" text="" dxfId="0">
      <formula>G6="SWK"</formula>
    </cfRule>
    <cfRule type="expression" priority="3" aboveAverage="0" equalAverage="0" bottom="0" percent="0" rank="0" text="" dxfId="1">
      <formula>G6="Woningborg"</formula>
    </cfRule>
  </conditionalFormatting>
  <conditionalFormatting sqref="G20:G25">
    <cfRule type="expression" priority="4" aboveAverage="0" equalAverage="0" bottom="0" percent="0" rank="0" text="" dxfId="2">
      <formula>G20="SWK"</formula>
    </cfRule>
    <cfRule type="expression" priority="5" aboveAverage="0" equalAverage="0" bottom="0" percent="0" rank="0" text="" dxfId="3">
      <formula>G20="Woningborg"</formula>
    </cfRule>
  </conditionalFormatting>
  <conditionalFormatting sqref="E20:E27">
    <cfRule type="expression" priority="6" aboveAverage="0" equalAverage="0" bottom="0" percent="0" rank="0" text="" dxfId="4">
      <formula>E20&lt;0</formula>
    </cfRule>
  </conditionalFormatting>
  <conditionalFormatting sqref="D33:D36">
    <cfRule type="expression" priority="7" aboveAverage="0" equalAverage="0" bottom="0" percent="0" rank="0" text="" dxfId="5">
      <formula>D33="OK"</formula>
    </cfRule>
    <cfRule type="expression" priority="8" aboveAverage="0" equalAverage="0" bottom="0" percent="0" rank="0" text="" dxfId="6">
      <formula>D33&lt;&gt;"OK"</formula>
    </cfRule>
  </conditionalFormatting>
  <dataValidations count="1">
    <dataValidation allowBlank="false" errorStyle="stop" operator="between" showDropDown="false" showErrorMessage="false" showInputMessage="false" sqref="H11:H13" type="list">
      <formula1>"ja,nee"</formula1>
      <formula2>0</formula2>
    </dataValidation>
  </dataValidations>
  <printOptions headings="false" gridLines="false" gridLinesSet="true" horizontalCentered="false" verticalCentered="false"/>
  <pageMargins left="0.25" right="0.25" top="0.4" bottom="0.4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&amp;C&amp;"Arial,Regular"Heijmans Vastgoed | Vergelijking SWK – Woningborg&amp;R&amp;"Arial,Regular"Pagina &amp;P van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3B5C"/>
    <pageSetUpPr fitToPage="true"/>
  </sheetPr>
  <dimension ref="B1:I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6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22"/>
    <col collapsed="false" customWidth="true" hidden="false" outlineLevel="0" max="6" min="6" style="0" width="20"/>
    <col collapsed="false" customWidth="true" hidden="false" outlineLevel="0" max="8" min="7" style="0" width="15"/>
    <col collapsed="false" customWidth="true" hidden="false" outlineLevel="0" max="9" min="9" style="0" width="48"/>
  </cols>
  <sheetData>
    <row r="1" customFormat="false" ht="25.5" hidden="false" customHeight="true" outlineLevel="0" collapsed="false">
      <c r="B1" s="1" t="s">
        <v>0</v>
      </c>
      <c r="C1" s="1"/>
      <c r="D1" s="1"/>
      <c r="E1" s="1"/>
      <c r="F1" s="1"/>
      <c r="G1" s="1"/>
      <c r="H1" s="1"/>
      <c r="I1" s="1"/>
    </row>
    <row r="2" customFormat="false" ht="31.5" hidden="false" customHeight="true" outlineLevel="0" collapsed="false">
      <c r="B2" s="2" t="s">
        <v>41</v>
      </c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B3" s="3" t="s">
        <v>42</v>
      </c>
      <c r="C3" s="3"/>
      <c r="D3" s="3"/>
      <c r="E3" s="3"/>
      <c r="F3" s="3"/>
      <c r="G3" s="3"/>
      <c r="H3" s="3"/>
      <c r="I3" s="3"/>
    </row>
    <row r="4" customFormat="false" ht="18.75" hidden="false" customHeight="true" outlineLevel="0" collapsed="false">
      <c r="B4" s="4"/>
      <c r="C4" s="4"/>
      <c r="D4" s="4"/>
      <c r="E4" s="4"/>
      <c r="F4" s="4"/>
      <c r="G4" s="4"/>
      <c r="H4" s="4"/>
      <c r="I4" s="4"/>
    </row>
    <row r="5" customFormat="false" ht="18.75" hidden="false" customHeight="true" outlineLevel="0" collapsed="false">
      <c r="B5" s="4" t="s">
        <v>43</v>
      </c>
      <c r="C5" s="15" t="s">
        <v>44</v>
      </c>
      <c r="D5" s="15"/>
      <c r="E5" s="15"/>
      <c r="F5" s="15"/>
      <c r="G5" s="43" t="s">
        <v>45</v>
      </c>
      <c r="H5" s="44" t="str">
        <f aca="false">IF(I5="ja","OK","CONTROLEREN")</f>
        <v>OK</v>
      </c>
      <c r="I5" s="16" t="s">
        <v>46</v>
      </c>
    </row>
    <row r="6" customFormat="false" ht="18.75" hidden="false" customHeight="true" outlineLevel="0" collapsed="false">
      <c r="B6" s="4"/>
      <c r="C6" s="4"/>
      <c r="D6" s="4"/>
      <c r="E6" s="4"/>
      <c r="F6" s="4"/>
      <c r="G6" s="4"/>
      <c r="H6" s="4"/>
      <c r="I6" s="4"/>
    </row>
    <row r="7" customFormat="false" ht="18.75" hidden="false" customHeight="true" outlineLevel="0" collapsed="false">
      <c r="B7" s="4"/>
      <c r="C7" s="4"/>
      <c r="D7" s="4"/>
      <c r="E7" s="4"/>
      <c r="F7" s="4"/>
      <c r="G7" s="4"/>
      <c r="H7" s="4"/>
      <c r="I7" s="4"/>
    </row>
    <row r="8" customFormat="false" ht="18.75" hidden="false" customHeight="true" outlineLevel="0" collapsed="false">
      <c r="B8" s="4"/>
      <c r="C8" s="4"/>
      <c r="D8" s="4"/>
      <c r="E8" s="4"/>
      <c r="F8" s="4"/>
      <c r="G8" s="4"/>
      <c r="H8" s="4"/>
      <c r="I8" s="4"/>
    </row>
    <row r="9" customFormat="false" ht="19.5" hidden="false" customHeight="true" outlineLevel="0" collapsed="false">
      <c r="B9" s="13" t="s">
        <v>47</v>
      </c>
      <c r="C9" s="13"/>
      <c r="D9" s="13"/>
      <c r="E9" s="13"/>
      <c r="F9" s="13"/>
      <c r="G9" s="13"/>
      <c r="H9" s="13"/>
      <c r="I9" s="13"/>
    </row>
    <row r="10" customFormat="false" ht="18.75" hidden="false" customHeight="true" outlineLevel="0" collapsed="false">
      <c r="B10" s="23" t="s">
        <v>19</v>
      </c>
      <c r="C10" s="26" t="s">
        <v>48</v>
      </c>
      <c r="D10" s="26" t="s">
        <v>49</v>
      </c>
      <c r="E10" s="26"/>
      <c r="F10" s="26" t="s">
        <v>50</v>
      </c>
      <c r="G10" s="26" t="s">
        <v>51</v>
      </c>
      <c r="H10" s="26"/>
      <c r="I10" s="23" t="s">
        <v>52</v>
      </c>
    </row>
    <row r="11" customFormat="false" ht="18.75" hidden="false" customHeight="true" outlineLevel="0" collapsed="false">
      <c r="B11" s="45" t="s">
        <v>53</v>
      </c>
      <c r="C11" s="4"/>
      <c r="D11" s="4"/>
      <c r="E11" s="4"/>
      <c r="F11" s="4"/>
      <c r="G11" s="4"/>
      <c r="H11" s="4"/>
      <c r="I11" s="4"/>
    </row>
    <row r="12" customFormat="false" ht="18.75" hidden="false" customHeight="true" outlineLevel="0" collapsed="false">
      <c r="B12" s="14" t="s">
        <v>24</v>
      </c>
      <c r="C12" s="46" t="n">
        <v>0.005198</v>
      </c>
      <c r="D12" s="47" t="n">
        <v>0.2</v>
      </c>
      <c r="E12" s="4"/>
      <c r="F12" s="48" t="n">
        <f aca="false">AanneemsomIncl*D12</f>
        <v>101640</v>
      </c>
      <c r="G12" s="20" t="n">
        <f aca="false">F12*C12</f>
        <v>528.32472</v>
      </c>
      <c r="H12" s="4"/>
      <c r="I12" s="38" t="s">
        <v>54</v>
      </c>
    </row>
    <row r="13" customFormat="false" ht="18.75" hidden="false" customHeight="true" outlineLevel="0" collapsed="false">
      <c r="B13" s="14" t="s">
        <v>25</v>
      </c>
      <c r="C13" s="46" t="n">
        <v>0.00038</v>
      </c>
      <c r="D13" s="47" t="n">
        <v>1</v>
      </c>
      <c r="E13" s="4"/>
      <c r="F13" s="48" t="n">
        <f aca="false">AanneemsomIncl*D13</f>
        <v>508200</v>
      </c>
      <c r="G13" s="20" t="n">
        <f aca="false">F13*C13</f>
        <v>193.116</v>
      </c>
      <c r="H13" s="4"/>
      <c r="I13" s="38" t="s">
        <v>55</v>
      </c>
    </row>
    <row r="14" customFormat="false" ht="18.75" hidden="false" customHeight="true" outlineLevel="0" collapsed="false">
      <c r="B14" s="4"/>
      <c r="C14" s="4"/>
      <c r="D14" s="4"/>
      <c r="E14" s="4"/>
      <c r="F14" s="4"/>
      <c r="G14" s="4"/>
      <c r="H14" s="4"/>
      <c r="I14" s="4"/>
    </row>
    <row r="15" customFormat="false" ht="19.5" hidden="false" customHeight="true" outlineLevel="0" collapsed="false">
      <c r="B15" s="13" t="s">
        <v>56</v>
      </c>
      <c r="C15" s="13"/>
      <c r="D15" s="13"/>
      <c r="E15" s="13"/>
      <c r="F15" s="13"/>
      <c r="G15" s="13"/>
      <c r="H15" s="13"/>
      <c r="I15" s="13"/>
    </row>
    <row r="16" customFormat="false" ht="18.75" hidden="false" customHeight="true" outlineLevel="0" collapsed="false">
      <c r="B16" s="23" t="s">
        <v>57</v>
      </c>
      <c r="C16" s="26" t="s">
        <v>48</v>
      </c>
      <c r="D16" s="26" t="s">
        <v>58</v>
      </c>
      <c r="E16" s="26" t="s">
        <v>59</v>
      </c>
      <c r="F16" s="26" t="s">
        <v>50</v>
      </c>
      <c r="G16" s="26" t="s">
        <v>60</v>
      </c>
      <c r="H16" s="26" t="s">
        <v>51</v>
      </c>
      <c r="I16" s="23" t="s">
        <v>52</v>
      </c>
    </row>
    <row r="17" customFormat="false" ht="18.75" hidden="false" customHeight="true" outlineLevel="0" collapsed="false">
      <c r="B17" s="49" t="s">
        <v>61</v>
      </c>
      <c r="C17" s="50" t="n">
        <v>0.303</v>
      </c>
      <c r="D17" s="15" t="s">
        <v>62</v>
      </c>
      <c r="E17" s="15" t="s">
        <v>63</v>
      </c>
      <c r="F17" s="48" t="n">
        <f aca="false">IF(D17="Sectie I",$G$12,IF(D17="Sectie II",$G$13,IF(D17="Aanneemsom incl. btw",AanneemsomIncl,0)))</f>
        <v>193.116</v>
      </c>
      <c r="G17" s="51" t="str">
        <f aca="false">IF(B17="","",IF(IF(E17="Altijd",1,IF(E17="Hoogbouw",--(KeuzeHoogbouw="ja"),IF(E17="Zakelijk",--(KeuzeZakelijk="ja"),IF(E17="Bouwtijd &gt; 3 jaar",--(KeuzeBouwtijd="ja"),0))))=1,"ja","nee"))</f>
        <v>nee</v>
      </c>
      <c r="H17" s="20" t="n">
        <f aca="false">IF(G17="ja",F17*C17,0)</f>
        <v>0</v>
      </c>
      <c r="I17" s="38" t="s">
        <v>64</v>
      </c>
    </row>
    <row r="18" customFormat="false" ht="18.75" hidden="false" customHeight="true" outlineLevel="0" collapsed="false">
      <c r="B18" s="49" t="s">
        <v>65</v>
      </c>
      <c r="C18" s="50" t="n">
        <v>0.1</v>
      </c>
      <c r="D18" s="15" t="s">
        <v>62</v>
      </c>
      <c r="E18" s="15" t="s">
        <v>66</v>
      </c>
      <c r="F18" s="48" t="n">
        <f aca="false">IF(D18="Sectie I",$G$12,IF(D18="Sectie II",$G$13,IF(D18="Aanneemsom incl. btw",AanneemsomIncl,0)))</f>
        <v>193.116</v>
      </c>
      <c r="G18" s="51" t="str">
        <f aca="false">IF(B18="","",IF(IF(E18="Altijd",1,IF(E18="Hoogbouw",--(KeuzeHoogbouw="ja"),IF(E18="Zakelijk",--(KeuzeZakelijk="ja"),IF(E18="Bouwtijd &gt; 3 jaar",--(KeuzeBouwtijd="ja"),0))))=1,"ja","nee"))</f>
        <v>nee</v>
      </c>
      <c r="H18" s="20" t="n">
        <f aca="false">IF(G18="ja",F18*C18,0)</f>
        <v>0</v>
      </c>
      <c r="I18" s="38" t="s">
        <v>67</v>
      </c>
    </row>
    <row r="19" customFormat="false" ht="18.75" hidden="false" customHeight="true" outlineLevel="0" collapsed="false">
      <c r="B19" s="49" t="s">
        <v>68</v>
      </c>
      <c r="C19" s="50" t="n">
        <v>0.1</v>
      </c>
      <c r="D19" s="15" t="s">
        <v>69</v>
      </c>
      <c r="E19" s="15" t="s">
        <v>70</v>
      </c>
      <c r="F19" s="48" t="n">
        <f aca="false">IF(D19="Sectie I",$G$12,IF(D19="Sectie II",$G$13,IF(D19="Aanneemsom incl. btw",AanneemsomIncl,0)))</f>
        <v>528.32472</v>
      </c>
      <c r="G19" s="51" t="str">
        <f aca="false">IF(B19="","",IF(IF(E19="Altijd",1,IF(E19="Hoogbouw",--(KeuzeHoogbouw="ja"),IF(E19="Zakelijk",--(KeuzeZakelijk="ja"),IF(E19="Bouwtijd &gt; 3 jaar",--(KeuzeBouwtijd="ja"),0))))=1,"ja","nee"))</f>
        <v>nee</v>
      </c>
      <c r="H19" s="20" t="n">
        <f aca="false">IF(G19="ja",F19*C19,0)</f>
        <v>0</v>
      </c>
      <c r="I19" s="38" t="s">
        <v>71</v>
      </c>
    </row>
    <row r="20" customFormat="false" ht="18.75" hidden="false" customHeight="true" outlineLevel="0" collapsed="false">
      <c r="B20" s="49"/>
      <c r="C20" s="50"/>
      <c r="D20" s="15"/>
      <c r="E20" s="15"/>
      <c r="F20" s="48" t="n">
        <f aca="false">IF(D20="Sectie I",$G$12,IF(D20="Sectie II",$G$13,IF(D20="Aanneemsom incl. btw",AanneemsomIncl,0)))</f>
        <v>0</v>
      </c>
      <c r="G20" s="51" t="str">
        <f aca="false">IF(B20="","",IF(IF(E20="Altijd",1,IF(E20="Hoogbouw",--(KeuzeHoogbouw="ja"),IF(E20="Zakelijk",--(KeuzeZakelijk="ja"),IF(E20="Bouwtijd &gt; 3 jaar",--(KeuzeBouwtijd="ja"),0))))=1,"ja","nee"))</f>
        <v/>
      </c>
      <c r="H20" s="20" t="n">
        <f aca="false">IF(G20="ja",F20*C20,0)</f>
        <v>0</v>
      </c>
      <c r="I20" s="38"/>
    </row>
    <row r="21" customFormat="false" ht="18.75" hidden="false" customHeight="true" outlineLevel="0" collapsed="false">
      <c r="B21" s="49"/>
      <c r="C21" s="50"/>
      <c r="D21" s="15"/>
      <c r="E21" s="15"/>
      <c r="F21" s="48" t="n">
        <f aca="false">IF(D21="Sectie I",$G$12,IF(D21="Sectie II",$G$13,IF(D21="Aanneemsom incl. btw",AanneemsomIncl,0)))</f>
        <v>0</v>
      </c>
      <c r="G21" s="51" t="str">
        <f aca="false">IF(B21="","",IF(IF(E21="Altijd",1,IF(E21="Hoogbouw",--(KeuzeHoogbouw="ja"),IF(E21="Zakelijk",--(KeuzeZakelijk="ja"),IF(E21="Bouwtijd &gt; 3 jaar",--(KeuzeBouwtijd="ja"),0))))=1,"ja","nee"))</f>
        <v/>
      </c>
      <c r="H21" s="20" t="n">
        <f aca="false">IF(G21="ja",F21*C21,0)</f>
        <v>0</v>
      </c>
      <c r="I21" s="38"/>
    </row>
    <row r="22" customFormat="false" ht="18.75" hidden="false" customHeight="true" outlineLevel="0" collapsed="false">
      <c r="B22" s="49"/>
      <c r="C22" s="50"/>
      <c r="D22" s="15"/>
      <c r="E22" s="15"/>
      <c r="F22" s="48" t="n">
        <f aca="false">IF(D22="Sectie I",$G$12,IF(D22="Sectie II",$G$13,IF(D22="Aanneemsom incl. btw",AanneemsomIncl,0)))</f>
        <v>0</v>
      </c>
      <c r="G22" s="51" t="str">
        <f aca="false">IF(B22="","",IF(IF(E22="Altijd",1,IF(E22="Hoogbouw",--(KeuzeHoogbouw="ja"),IF(E22="Zakelijk",--(KeuzeZakelijk="ja"),IF(E22="Bouwtijd &gt; 3 jaar",--(KeuzeBouwtijd="ja"),0))))=1,"ja","nee"))</f>
        <v/>
      </c>
      <c r="H22" s="20" t="n">
        <f aca="false">IF(G22="ja",F22*C22,0)</f>
        <v>0</v>
      </c>
      <c r="I22" s="38"/>
    </row>
    <row r="23" customFormat="false" ht="18.75" hidden="false" customHeight="true" outlineLevel="0" collapsed="false">
      <c r="B23" s="4"/>
      <c r="C23" s="4"/>
      <c r="D23" s="4"/>
      <c r="E23" s="4"/>
      <c r="F23" s="4"/>
      <c r="G23" s="43" t="s">
        <v>72</v>
      </c>
      <c r="H23" s="22" t="n">
        <f aca="false">SUM(H17:H22)</f>
        <v>0</v>
      </c>
      <c r="I23" s="4"/>
    </row>
    <row r="24" customFormat="false" ht="18.75" hidden="false" customHeight="true" outlineLevel="0" collapsed="false">
      <c r="B24" s="4"/>
      <c r="C24" s="4"/>
      <c r="D24" s="4"/>
      <c r="E24" s="4"/>
      <c r="F24" s="4"/>
      <c r="G24" s="4"/>
      <c r="H24" s="4"/>
      <c r="I24" s="4"/>
    </row>
    <row r="25" customFormat="false" ht="19.5" hidden="false" customHeight="true" outlineLevel="0" collapsed="false">
      <c r="B25" s="13" t="s">
        <v>73</v>
      </c>
      <c r="C25" s="13"/>
      <c r="D25" s="13"/>
      <c r="E25" s="13"/>
      <c r="F25" s="13"/>
      <c r="G25" s="13"/>
      <c r="H25" s="13"/>
      <c r="I25" s="13"/>
    </row>
    <row r="26" customFormat="false" ht="18.75" hidden="false" customHeight="true" outlineLevel="0" collapsed="false">
      <c r="B26" s="23" t="s">
        <v>57</v>
      </c>
      <c r="C26" s="26" t="s">
        <v>74</v>
      </c>
      <c r="D26" s="26" t="s">
        <v>75</v>
      </c>
      <c r="E26" s="26" t="s">
        <v>59</v>
      </c>
      <c r="F26" s="26" t="s">
        <v>76</v>
      </c>
      <c r="G26" s="26" t="s">
        <v>60</v>
      </c>
      <c r="H26" s="26" t="s">
        <v>51</v>
      </c>
      <c r="I26" s="23" t="s">
        <v>52</v>
      </c>
    </row>
    <row r="27" customFormat="false" ht="18.75" hidden="false" customHeight="true" outlineLevel="0" collapsed="false">
      <c r="B27" s="49" t="s">
        <v>77</v>
      </c>
      <c r="C27" s="18" t="n">
        <v>750</v>
      </c>
      <c r="D27" s="15" t="s">
        <v>78</v>
      </c>
      <c r="E27" s="15" t="s">
        <v>79</v>
      </c>
      <c r="F27" s="52" t="n">
        <f aca="false">IF(D27="woning",AantalWoningen,IF(D27="project",1,0))</f>
        <v>1</v>
      </c>
      <c r="G27" s="51" t="str">
        <f aca="false">IF(B27="","",IF(IF(E27="Altijd",1,IF(E27="Hoogbouw",--(KeuzeHoogbouw="ja"),IF(E27="Zakelijk",--(KeuzeZakelijk="ja"),IF(E27="Bouwtijd &gt; 3 jaar",--(KeuzeBouwtijd="ja"),0))))=1,"ja","nee"))</f>
        <v>ja</v>
      </c>
      <c r="H27" s="20" t="n">
        <f aca="false">IF(G27="ja",F27*C27,0)</f>
        <v>750</v>
      </c>
      <c r="I27" s="38" t="s">
        <v>80</v>
      </c>
    </row>
    <row r="28" customFormat="false" ht="18.75" hidden="false" customHeight="true" outlineLevel="0" collapsed="false">
      <c r="B28" s="49"/>
      <c r="C28" s="18"/>
      <c r="D28" s="15"/>
      <c r="E28" s="15"/>
      <c r="F28" s="52" t="n">
        <f aca="false">IF(D28="woning",AantalWoningen,IF(D28="project",1,0))</f>
        <v>0</v>
      </c>
      <c r="G28" s="51" t="str">
        <f aca="false">IF(B28="","",IF(IF(E28="Altijd",1,IF(E28="Hoogbouw",--(KeuzeHoogbouw="ja"),IF(E28="Zakelijk",--(KeuzeZakelijk="ja"),IF(E28="Bouwtijd &gt; 3 jaar",--(KeuzeBouwtijd="ja"),0))))=1,"ja","nee"))</f>
        <v/>
      </c>
      <c r="H28" s="20" t="n">
        <f aca="false">IF(G28="ja",F28*C28,0)</f>
        <v>0</v>
      </c>
      <c r="I28" s="38"/>
    </row>
    <row r="29" customFormat="false" ht="18.75" hidden="false" customHeight="true" outlineLevel="0" collapsed="false">
      <c r="B29" s="49"/>
      <c r="C29" s="18"/>
      <c r="D29" s="15"/>
      <c r="E29" s="15"/>
      <c r="F29" s="52" t="n">
        <f aca="false">IF(D29="woning",AantalWoningen,IF(D29="project",1,0))</f>
        <v>0</v>
      </c>
      <c r="G29" s="51" t="str">
        <f aca="false">IF(B29="","",IF(IF(E29="Altijd",1,IF(E29="Hoogbouw",--(KeuzeHoogbouw="ja"),IF(E29="Zakelijk",--(KeuzeZakelijk="ja"),IF(E29="Bouwtijd &gt; 3 jaar",--(KeuzeBouwtijd="ja"),0))))=1,"ja","nee"))</f>
        <v/>
      </c>
      <c r="H29" s="20" t="n">
        <f aca="false">IF(G29="ja",F29*C29,0)</f>
        <v>0</v>
      </c>
      <c r="I29" s="38"/>
    </row>
    <row r="30" customFormat="false" ht="18.75" hidden="false" customHeight="true" outlineLevel="0" collapsed="false">
      <c r="B30" s="49"/>
      <c r="C30" s="18"/>
      <c r="D30" s="15"/>
      <c r="E30" s="15"/>
      <c r="F30" s="52" t="n">
        <f aca="false">IF(D30="woning",AantalWoningen,IF(D30="project",1,0))</f>
        <v>0</v>
      </c>
      <c r="G30" s="51" t="str">
        <f aca="false">IF(B30="","",IF(IF(E30="Altijd",1,IF(E30="Hoogbouw",--(KeuzeHoogbouw="ja"),IF(E30="Zakelijk",--(KeuzeZakelijk="ja"),IF(E30="Bouwtijd &gt; 3 jaar",--(KeuzeBouwtijd="ja"),0))))=1,"ja","nee"))</f>
        <v/>
      </c>
      <c r="H30" s="20" t="n">
        <f aca="false">IF(G30="ja",F30*C30,0)</f>
        <v>0</v>
      </c>
      <c r="I30" s="38"/>
    </row>
    <row r="31" customFormat="false" ht="18.75" hidden="false" customHeight="true" outlineLevel="0" collapsed="false">
      <c r="B31" s="49"/>
      <c r="C31" s="18"/>
      <c r="D31" s="15"/>
      <c r="E31" s="15"/>
      <c r="F31" s="52" t="n">
        <f aca="false">IF(D31="woning",AantalWoningen,IF(D31="project",1,0))</f>
        <v>0</v>
      </c>
      <c r="G31" s="51" t="str">
        <f aca="false">IF(B31="","",IF(IF(E31="Altijd",1,IF(E31="Hoogbouw",--(KeuzeHoogbouw="ja"),IF(E31="Zakelijk",--(KeuzeZakelijk="ja"),IF(E31="Bouwtijd &gt; 3 jaar",--(KeuzeBouwtijd="ja"),0))))=1,"ja","nee"))</f>
        <v/>
      </c>
      <c r="H31" s="20" t="n">
        <f aca="false">IF(G31="ja",F31*C31,0)</f>
        <v>0</v>
      </c>
      <c r="I31" s="38"/>
    </row>
    <row r="32" customFormat="false" ht="18.75" hidden="false" customHeight="true" outlineLevel="0" collapsed="false">
      <c r="B32" s="49"/>
      <c r="C32" s="18"/>
      <c r="D32" s="15"/>
      <c r="E32" s="15"/>
      <c r="F32" s="52" t="n">
        <f aca="false">IF(D32="woning",AantalWoningen,IF(D32="project",1,0))</f>
        <v>0</v>
      </c>
      <c r="G32" s="51" t="str">
        <f aca="false">IF(B32="","",IF(IF(E32="Altijd",1,IF(E32="Hoogbouw",--(KeuzeHoogbouw="ja"),IF(E32="Zakelijk",--(KeuzeZakelijk="ja"),IF(E32="Bouwtijd &gt; 3 jaar",--(KeuzeBouwtijd="ja"),0))))=1,"ja","nee"))</f>
        <v/>
      </c>
      <c r="H32" s="20" t="n">
        <f aca="false">IF(G32="ja",F32*C32,0)</f>
        <v>0</v>
      </c>
      <c r="I32" s="38"/>
    </row>
    <row r="33" customFormat="false" ht="18.75" hidden="false" customHeight="true" outlineLevel="0" collapsed="false">
      <c r="B33" s="4"/>
      <c r="C33" s="4"/>
      <c r="D33" s="4"/>
      <c r="E33" s="4"/>
      <c r="F33" s="4"/>
      <c r="G33" s="43" t="s">
        <v>72</v>
      </c>
      <c r="H33" s="22" t="n">
        <f aca="false">SUM(H27:H32)</f>
        <v>750</v>
      </c>
      <c r="I33" s="4"/>
    </row>
    <row r="34" customFormat="false" ht="18.75" hidden="false" customHeight="true" outlineLevel="0" collapsed="false">
      <c r="B34" s="4"/>
      <c r="C34" s="4"/>
      <c r="D34" s="4"/>
      <c r="E34" s="4"/>
      <c r="F34" s="4"/>
      <c r="G34" s="4"/>
      <c r="H34" s="4"/>
      <c r="I34" s="4"/>
    </row>
    <row r="35" customFormat="false" ht="24" hidden="false" customHeight="true" outlineLevel="0" collapsed="false">
      <c r="B35" s="31" t="s">
        <v>81</v>
      </c>
      <c r="C35" s="33"/>
      <c r="D35" s="33"/>
      <c r="E35" s="33"/>
      <c r="F35" s="33"/>
      <c r="G35" s="33"/>
      <c r="H35" s="32" t="n">
        <f aca="false">G12+G13+H23+H33</f>
        <v>1471.44072</v>
      </c>
      <c r="I35" s="33"/>
    </row>
    <row r="36" customFormat="false" ht="18.75" hidden="false" customHeight="true" outlineLevel="0" collapsed="false">
      <c r="B36" s="4"/>
      <c r="C36" s="4"/>
      <c r="D36" s="4"/>
      <c r="E36" s="4"/>
      <c r="F36" s="4"/>
      <c r="G36" s="4"/>
      <c r="H36" s="4"/>
      <c r="I36" s="4"/>
    </row>
  </sheetData>
  <mergeCells count="7">
    <mergeCell ref="B1:I1"/>
    <mergeCell ref="B2:I2"/>
    <mergeCell ref="B3:I3"/>
    <mergeCell ref="C5:F5"/>
    <mergeCell ref="B9:I9"/>
    <mergeCell ref="B15:I15"/>
    <mergeCell ref="B25:I25"/>
  </mergeCells>
  <conditionalFormatting sqref="H5">
    <cfRule type="expression" priority="2" aboveAverage="0" equalAverage="0" bottom="0" percent="0" rank="0" text="" dxfId="5">
      <formula>H5="OK"</formula>
    </cfRule>
    <cfRule type="expression" priority="3" aboveAverage="0" equalAverage="0" bottom="0" percent="0" rank="0" text="" dxfId="6">
      <formula>H5&lt;&gt;"OK"</formula>
    </cfRule>
  </conditionalFormatting>
  <dataValidations count="4">
    <dataValidation allowBlank="false" errorStyle="stop" operator="between" showDropDown="false" showErrorMessage="false" showInputMessage="false" sqref="I5" type="list">
      <formula1>"ja,nee"</formula1>
      <formula2>0</formula2>
    </dataValidation>
    <dataValidation allowBlank="false" errorStyle="stop" operator="between" showDropDown="false" showErrorMessage="false" showInputMessage="false" sqref="D17:D22" type="list">
      <formula1>"Sectie I,Sectie II,Aanneemsom incl. btw"</formula1>
      <formula2>0</formula2>
    </dataValidation>
    <dataValidation allowBlank="false" errorStyle="stop" operator="between" showDropDown="false" showErrorMessage="false" showInputMessage="false" sqref="E17:E22 E27:E32" type="list">
      <formula1>"Altijd,Hoogbouw,Zakelijk,Bouwtijd &gt; 3 jaar,Nooit"</formula1>
      <formula2>0</formula2>
    </dataValidation>
    <dataValidation allowBlank="false" errorStyle="stop" operator="between" showDropDown="false" showErrorMessage="false" showInputMessage="false" sqref="D27:D32" type="list">
      <formula1>"woning,project"</formula1>
      <formula2>0</formula2>
    </dataValidation>
  </dataValidations>
  <printOptions headings="false" gridLines="false" gridLinesSet="true" horizontalCentered="false" verticalCentered="false"/>
  <pageMargins left="0.25" right="0.25" top="0.4" bottom="0.4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&amp;C&amp;"Arial,Regular"Heijmans Vastgoed | Tarieven SWK&amp;R&amp;"Arial,Regular"Pagina &amp;P van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8A00"/>
    <pageSetUpPr fitToPage="true"/>
  </sheetPr>
  <dimension ref="B1:I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6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22"/>
    <col collapsed="false" customWidth="true" hidden="false" outlineLevel="0" max="6" min="6" style="0" width="20"/>
    <col collapsed="false" customWidth="true" hidden="false" outlineLevel="0" max="8" min="7" style="0" width="15"/>
    <col collapsed="false" customWidth="true" hidden="false" outlineLevel="0" max="9" min="9" style="0" width="48"/>
  </cols>
  <sheetData>
    <row r="1" customFormat="false" ht="25.5" hidden="false" customHeight="true" outlineLevel="0" collapsed="false">
      <c r="B1" s="1" t="s">
        <v>0</v>
      </c>
      <c r="C1" s="1"/>
      <c r="D1" s="1"/>
      <c r="E1" s="1"/>
      <c r="F1" s="1"/>
      <c r="G1" s="1"/>
      <c r="H1" s="1"/>
      <c r="I1" s="1"/>
    </row>
    <row r="2" customFormat="false" ht="31.5" hidden="false" customHeight="true" outlineLevel="0" collapsed="false">
      <c r="B2" s="2" t="s">
        <v>82</v>
      </c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B3" s="3" t="s">
        <v>42</v>
      </c>
      <c r="C3" s="3"/>
      <c r="D3" s="3"/>
      <c r="E3" s="3"/>
      <c r="F3" s="3"/>
      <c r="G3" s="3"/>
      <c r="H3" s="3"/>
      <c r="I3" s="3"/>
    </row>
    <row r="4" customFormat="false" ht="18.75" hidden="false" customHeight="true" outlineLevel="0" collapsed="false">
      <c r="B4" s="4"/>
      <c r="C4" s="4"/>
      <c r="D4" s="4"/>
      <c r="E4" s="4"/>
      <c r="F4" s="4"/>
      <c r="G4" s="4"/>
      <c r="H4" s="4"/>
      <c r="I4" s="4"/>
    </row>
    <row r="5" customFormat="false" ht="18.75" hidden="false" customHeight="true" outlineLevel="0" collapsed="false">
      <c r="B5" s="4" t="s">
        <v>43</v>
      </c>
      <c r="C5" s="15" t="s">
        <v>83</v>
      </c>
      <c r="D5" s="15"/>
      <c r="E5" s="15"/>
      <c r="F5" s="15"/>
      <c r="G5" s="43" t="s">
        <v>45</v>
      </c>
      <c r="H5" s="44" t="str">
        <f aca="false">IF(I5="ja","OK","CONTROLEREN")</f>
        <v>CONTROLEREN</v>
      </c>
      <c r="I5" s="16" t="s">
        <v>12</v>
      </c>
    </row>
    <row r="6" customFormat="false" ht="18.75" hidden="false" customHeight="true" outlineLevel="0" collapsed="false">
      <c r="B6" s="4"/>
      <c r="C6" s="4"/>
      <c r="D6" s="4"/>
      <c r="E6" s="4"/>
      <c r="F6" s="4"/>
      <c r="G6" s="4"/>
      <c r="H6" s="4"/>
      <c r="I6" s="4"/>
    </row>
    <row r="7" customFormat="false" ht="21.75" hidden="false" customHeight="true" outlineLevel="0" collapsed="false">
      <c r="B7" s="53" t="s">
        <v>84</v>
      </c>
      <c r="C7" s="53"/>
      <c r="D7" s="53"/>
      <c r="E7" s="53"/>
      <c r="F7" s="53"/>
      <c r="G7" s="53"/>
      <c r="H7" s="53"/>
      <c r="I7" s="53"/>
    </row>
    <row r="8" customFormat="false" ht="18.75" hidden="false" customHeight="true" outlineLevel="0" collapsed="false">
      <c r="B8" s="4"/>
      <c r="C8" s="4"/>
      <c r="D8" s="4"/>
      <c r="E8" s="4"/>
      <c r="F8" s="4"/>
      <c r="G8" s="4"/>
      <c r="H8" s="4"/>
      <c r="I8" s="4"/>
    </row>
    <row r="9" customFormat="false" ht="19.5" hidden="false" customHeight="true" outlineLevel="0" collapsed="false">
      <c r="B9" s="54" t="s">
        <v>47</v>
      </c>
      <c r="C9" s="54"/>
      <c r="D9" s="54"/>
      <c r="E9" s="54"/>
      <c r="F9" s="54"/>
      <c r="G9" s="54"/>
      <c r="H9" s="54"/>
      <c r="I9" s="54"/>
    </row>
    <row r="10" customFormat="false" ht="18.75" hidden="false" customHeight="true" outlineLevel="0" collapsed="false">
      <c r="B10" s="23" t="s">
        <v>19</v>
      </c>
      <c r="C10" s="26" t="s">
        <v>48</v>
      </c>
      <c r="D10" s="26" t="s">
        <v>49</v>
      </c>
      <c r="E10" s="26"/>
      <c r="F10" s="26" t="s">
        <v>50</v>
      </c>
      <c r="G10" s="26" t="s">
        <v>51</v>
      </c>
      <c r="H10" s="26"/>
      <c r="I10" s="23" t="s">
        <v>52</v>
      </c>
    </row>
    <row r="11" customFormat="false" ht="18.75" hidden="false" customHeight="true" outlineLevel="0" collapsed="false">
      <c r="B11" s="45" t="s">
        <v>53</v>
      </c>
      <c r="C11" s="4"/>
      <c r="D11" s="4"/>
      <c r="E11" s="4"/>
      <c r="F11" s="4"/>
      <c r="G11" s="4"/>
      <c r="H11" s="4"/>
      <c r="I11" s="4"/>
    </row>
    <row r="12" customFormat="false" ht="18.75" hidden="false" customHeight="true" outlineLevel="0" collapsed="false">
      <c r="B12" s="14" t="s">
        <v>85</v>
      </c>
      <c r="C12" s="46" t="n">
        <v>0.005</v>
      </c>
      <c r="D12" s="47" t="n">
        <v>0.2</v>
      </c>
      <c r="E12" s="4"/>
      <c r="F12" s="48" t="n">
        <f aca="false">AanneemsomIncl*D12</f>
        <v>101640</v>
      </c>
      <c r="G12" s="20" t="n">
        <f aca="false">F12*C12</f>
        <v>508.2</v>
      </c>
      <c r="H12" s="4"/>
      <c r="I12" s="38" t="s">
        <v>86</v>
      </c>
    </row>
    <row r="13" customFormat="false" ht="18.75" hidden="false" customHeight="true" outlineLevel="0" collapsed="false">
      <c r="B13" s="14" t="s">
        <v>87</v>
      </c>
      <c r="C13" s="46" t="n">
        <v>0.0004</v>
      </c>
      <c r="D13" s="47" t="n">
        <v>1</v>
      </c>
      <c r="E13" s="4"/>
      <c r="F13" s="48" t="n">
        <f aca="false">AanneemsomIncl*D13</f>
        <v>508200</v>
      </c>
      <c r="G13" s="20" t="n">
        <f aca="false">F13*C13</f>
        <v>203.28</v>
      </c>
      <c r="H13" s="4"/>
      <c r="I13" s="38" t="s">
        <v>86</v>
      </c>
    </row>
    <row r="14" customFormat="false" ht="18.75" hidden="false" customHeight="true" outlineLevel="0" collapsed="false">
      <c r="B14" s="4"/>
      <c r="C14" s="4"/>
      <c r="D14" s="4"/>
      <c r="E14" s="4"/>
      <c r="F14" s="4"/>
      <c r="G14" s="4"/>
      <c r="H14" s="4"/>
      <c r="I14" s="4"/>
    </row>
    <row r="15" customFormat="false" ht="19.5" hidden="false" customHeight="true" outlineLevel="0" collapsed="false">
      <c r="B15" s="54" t="s">
        <v>56</v>
      </c>
      <c r="C15" s="54"/>
      <c r="D15" s="54"/>
      <c r="E15" s="54"/>
      <c r="F15" s="54"/>
      <c r="G15" s="54"/>
      <c r="H15" s="54"/>
      <c r="I15" s="54"/>
    </row>
    <row r="16" customFormat="false" ht="18.75" hidden="false" customHeight="true" outlineLevel="0" collapsed="false">
      <c r="B16" s="23" t="s">
        <v>57</v>
      </c>
      <c r="C16" s="26" t="s">
        <v>48</v>
      </c>
      <c r="D16" s="26" t="s">
        <v>58</v>
      </c>
      <c r="E16" s="26" t="s">
        <v>59</v>
      </c>
      <c r="F16" s="26" t="s">
        <v>50</v>
      </c>
      <c r="G16" s="26" t="s">
        <v>60</v>
      </c>
      <c r="H16" s="26" t="s">
        <v>51</v>
      </c>
      <c r="I16" s="23" t="s">
        <v>52</v>
      </c>
    </row>
    <row r="17" customFormat="false" ht="18.75" hidden="false" customHeight="true" outlineLevel="0" collapsed="false">
      <c r="B17" s="49" t="s">
        <v>61</v>
      </c>
      <c r="C17" s="50" t="n">
        <v>0.3</v>
      </c>
      <c r="D17" s="15" t="s">
        <v>62</v>
      </c>
      <c r="E17" s="15" t="s">
        <v>63</v>
      </c>
      <c r="F17" s="48" t="n">
        <f aca="false">IF(D17="Sectie I",$G$12,IF(D17="Sectie II",$G$13,IF(D17="Aanneemsom incl. btw",AanneemsomIncl,0)))</f>
        <v>203.28</v>
      </c>
      <c r="G17" s="51" t="str">
        <f aca="false">IF(B17="","",IF(IF(E17="Altijd",1,IF(E17="Hoogbouw",--(KeuzeHoogbouw="ja"),IF(E17="Zakelijk",--(KeuzeZakelijk="ja"),IF(E17="Bouwtijd &gt; 3 jaar",--(KeuzeBouwtijd="ja"),0))))=1,"ja","nee"))</f>
        <v>nee</v>
      </c>
      <c r="H17" s="20" t="n">
        <f aca="false">IF(G17="ja",F17*C17,0)</f>
        <v>0</v>
      </c>
      <c r="I17" s="38" t="s">
        <v>86</v>
      </c>
    </row>
    <row r="18" customFormat="false" ht="18.75" hidden="false" customHeight="true" outlineLevel="0" collapsed="false">
      <c r="B18" s="49" t="s">
        <v>88</v>
      </c>
      <c r="C18" s="50" t="n">
        <v>0.1</v>
      </c>
      <c r="D18" s="15" t="s">
        <v>62</v>
      </c>
      <c r="E18" s="15" t="s">
        <v>66</v>
      </c>
      <c r="F18" s="48" t="n">
        <f aca="false">IF(D18="Sectie I",$G$12,IF(D18="Sectie II",$G$13,IF(D18="Aanneemsom incl. btw",AanneemsomIncl,0)))</f>
        <v>203.28</v>
      </c>
      <c r="G18" s="51" t="str">
        <f aca="false">IF(B18="","",IF(IF(E18="Altijd",1,IF(E18="Hoogbouw",--(KeuzeHoogbouw="ja"),IF(E18="Zakelijk",--(KeuzeZakelijk="ja"),IF(E18="Bouwtijd &gt; 3 jaar",--(KeuzeBouwtijd="ja"),0))))=1,"ja","nee"))</f>
        <v>nee</v>
      </c>
      <c r="H18" s="20" t="n">
        <f aca="false">IF(G18="ja",F18*C18,0)</f>
        <v>0</v>
      </c>
      <c r="I18" s="38" t="s">
        <v>86</v>
      </c>
    </row>
    <row r="19" customFormat="false" ht="18.75" hidden="false" customHeight="true" outlineLevel="0" collapsed="false">
      <c r="B19" s="49" t="s">
        <v>89</v>
      </c>
      <c r="C19" s="50" t="n">
        <v>0.1</v>
      </c>
      <c r="D19" s="15" t="s">
        <v>69</v>
      </c>
      <c r="E19" s="15" t="s">
        <v>70</v>
      </c>
      <c r="F19" s="48" t="n">
        <f aca="false">IF(D19="Sectie I",$G$12,IF(D19="Sectie II",$G$13,IF(D19="Aanneemsom incl. btw",AanneemsomIncl,0)))</f>
        <v>508.2</v>
      </c>
      <c r="G19" s="51" t="str">
        <f aca="false">IF(B19="","",IF(IF(E19="Altijd",1,IF(E19="Hoogbouw",--(KeuzeHoogbouw="ja"),IF(E19="Zakelijk",--(KeuzeZakelijk="ja"),IF(E19="Bouwtijd &gt; 3 jaar",--(KeuzeBouwtijd="ja"),0))))=1,"ja","nee"))</f>
        <v>nee</v>
      </c>
      <c r="H19" s="20" t="n">
        <f aca="false">IF(G19="ja",F19*C19,0)</f>
        <v>0</v>
      </c>
      <c r="I19" s="38" t="s">
        <v>86</v>
      </c>
    </row>
    <row r="20" customFormat="false" ht="18.75" hidden="false" customHeight="true" outlineLevel="0" collapsed="false">
      <c r="B20" s="49"/>
      <c r="C20" s="50"/>
      <c r="D20" s="15"/>
      <c r="E20" s="15"/>
      <c r="F20" s="48" t="n">
        <f aca="false">IF(D20="Sectie I",$G$12,IF(D20="Sectie II",$G$13,IF(D20="Aanneemsom incl. btw",AanneemsomIncl,0)))</f>
        <v>0</v>
      </c>
      <c r="G20" s="51" t="str">
        <f aca="false">IF(B20="","",IF(IF(E20="Altijd",1,IF(E20="Hoogbouw",--(KeuzeHoogbouw="ja"),IF(E20="Zakelijk",--(KeuzeZakelijk="ja"),IF(E20="Bouwtijd &gt; 3 jaar",--(KeuzeBouwtijd="ja"),0))))=1,"ja","nee"))</f>
        <v/>
      </c>
      <c r="H20" s="20" t="n">
        <f aca="false">IF(G20="ja",F20*C20,0)</f>
        <v>0</v>
      </c>
      <c r="I20" s="38"/>
    </row>
    <row r="21" customFormat="false" ht="18.75" hidden="false" customHeight="true" outlineLevel="0" collapsed="false">
      <c r="B21" s="49"/>
      <c r="C21" s="50"/>
      <c r="D21" s="15"/>
      <c r="E21" s="15"/>
      <c r="F21" s="48" t="n">
        <f aca="false">IF(D21="Sectie I",$G$12,IF(D21="Sectie II",$G$13,IF(D21="Aanneemsom incl. btw",AanneemsomIncl,0)))</f>
        <v>0</v>
      </c>
      <c r="G21" s="51" t="str">
        <f aca="false">IF(B21="","",IF(IF(E21="Altijd",1,IF(E21="Hoogbouw",--(KeuzeHoogbouw="ja"),IF(E21="Zakelijk",--(KeuzeZakelijk="ja"),IF(E21="Bouwtijd &gt; 3 jaar",--(KeuzeBouwtijd="ja"),0))))=1,"ja","nee"))</f>
        <v/>
      </c>
      <c r="H21" s="20" t="n">
        <f aca="false">IF(G21="ja",F21*C21,0)</f>
        <v>0</v>
      </c>
      <c r="I21" s="38"/>
    </row>
    <row r="22" customFormat="false" ht="18.75" hidden="false" customHeight="true" outlineLevel="0" collapsed="false">
      <c r="B22" s="49"/>
      <c r="C22" s="50"/>
      <c r="D22" s="15"/>
      <c r="E22" s="15"/>
      <c r="F22" s="48" t="n">
        <f aca="false">IF(D22="Sectie I",$G$12,IF(D22="Sectie II",$G$13,IF(D22="Aanneemsom incl. btw",AanneemsomIncl,0)))</f>
        <v>0</v>
      </c>
      <c r="G22" s="51" t="str">
        <f aca="false">IF(B22="","",IF(IF(E22="Altijd",1,IF(E22="Hoogbouw",--(KeuzeHoogbouw="ja"),IF(E22="Zakelijk",--(KeuzeZakelijk="ja"),IF(E22="Bouwtijd &gt; 3 jaar",--(KeuzeBouwtijd="ja"),0))))=1,"ja","nee"))</f>
        <v/>
      </c>
      <c r="H22" s="20" t="n">
        <f aca="false">IF(G22="ja",F22*C22,0)</f>
        <v>0</v>
      </c>
      <c r="I22" s="38"/>
    </row>
    <row r="23" customFormat="false" ht="18.75" hidden="false" customHeight="true" outlineLevel="0" collapsed="false">
      <c r="B23" s="4"/>
      <c r="C23" s="4"/>
      <c r="D23" s="4"/>
      <c r="E23" s="4"/>
      <c r="F23" s="4"/>
      <c r="G23" s="43" t="s">
        <v>72</v>
      </c>
      <c r="H23" s="22" t="n">
        <f aca="false">SUM(H17:H22)</f>
        <v>0</v>
      </c>
      <c r="I23" s="4"/>
    </row>
    <row r="24" customFormat="false" ht="18.75" hidden="false" customHeight="true" outlineLevel="0" collapsed="false">
      <c r="B24" s="4"/>
      <c r="C24" s="4"/>
      <c r="D24" s="4"/>
      <c r="E24" s="4"/>
      <c r="F24" s="4"/>
      <c r="G24" s="4"/>
      <c r="H24" s="4"/>
      <c r="I24" s="4"/>
    </row>
    <row r="25" customFormat="false" ht="19.5" hidden="false" customHeight="true" outlineLevel="0" collapsed="false">
      <c r="B25" s="54" t="s">
        <v>73</v>
      </c>
      <c r="C25" s="54"/>
      <c r="D25" s="54"/>
      <c r="E25" s="54"/>
      <c r="F25" s="54"/>
      <c r="G25" s="54"/>
      <c r="H25" s="54"/>
      <c r="I25" s="54"/>
    </row>
    <row r="26" customFormat="false" ht="18.75" hidden="false" customHeight="true" outlineLevel="0" collapsed="false">
      <c r="B26" s="23" t="s">
        <v>57</v>
      </c>
      <c r="C26" s="26" t="s">
        <v>74</v>
      </c>
      <c r="D26" s="26" t="s">
        <v>75</v>
      </c>
      <c r="E26" s="26" t="s">
        <v>59</v>
      </c>
      <c r="F26" s="26" t="s">
        <v>76</v>
      </c>
      <c r="G26" s="26" t="s">
        <v>60</v>
      </c>
      <c r="H26" s="26" t="s">
        <v>51</v>
      </c>
      <c r="I26" s="23" t="s">
        <v>52</v>
      </c>
    </row>
    <row r="27" customFormat="false" ht="18.75" hidden="false" customHeight="true" outlineLevel="0" collapsed="false">
      <c r="B27" s="49" t="s">
        <v>90</v>
      </c>
      <c r="C27" s="18" t="n">
        <v>700</v>
      </c>
      <c r="D27" s="15" t="s">
        <v>78</v>
      </c>
      <c r="E27" s="15" t="s">
        <v>79</v>
      </c>
      <c r="F27" s="52" t="n">
        <f aca="false">IF(D27="woning",AantalWoningen,IF(D27="project",1,0))</f>
        <v>1</v>
      </c>
      <c r="G27" s="51" t="str">
        <f aca="false">IF(B27="","",IF(IF(E27="Altijd",1,IF(E27="Hoogbouw",--(KeuzeHoogbouw="ja"),IF(E27="Zakelijk",--(KeuzeZakelijk="ja"),IF(E27="Bouwtijd &gt; 3 jaar",--(KeuzeBouwtijd="ja"),0))))=1,"ja","nee"))</f>
        <v>ja</v>
      </c>
      <c r="H27" s="20" t="n">
        <f aca="false">IF(G27="ja",F27*C27,0)</f>
        <v>700</v>
      </c>
      <c r="I27" s="38" t="s">
        <v>86</v>
      </c>
    </row>
    <row r="28" customFormat="false" ht="18.75" hidden="false" customHeight="true" outlineLevel="0" collapsed="false">
      <c r="B28" s="49"/>
      <c r="C28" s="18"/>
      <c r="D28" s="15"/>
      <c r="E28" s="15"/>
      <c r="F28" s="52" t="n">
        <f aca="false">IF(D28="woning",AantalWoningen,IF(D28="project",1,0))</f>
        <v>0</v>
      </c>
      <c r="G28" s="51" t="str">
        <f aca="false">IF(B28="","",IF(IF(E28="Altijd",1,IF(E28="Hoogbouw",--(KeuzeHoogbouw="ja"),IF(E28="Zakelijk",--(KeuzeZakelijk="ja"),IF(E28="Bouwtijd &gt; 3 jaar",--(KeuzeBouwtijd="ja"),0))))=1,"ja","nee"))</f>
        <v/>
      </c>
      <c r="H28" s="20" t="n">
        <f aca="false">IF(G28="ja",F28*C28,0)</f>
        <v>0</v>
      </c>
      <c r="I28" s="38"/>
    </row>
    <row r="29" customFormat="false" ht="18.75" hidden="false" customHeight="true" outlineLevel="0" collapsed="false">
      <c r="B29" s="49"/>
      <c r="C29" s="18"/>
      <c r="D29" s="15"/>
      <c r="E29" s="15"/>
      <c r="F29" s="52" t="n">
        <f aca="false">IF(D29="woning",AantalWoningen,IF(D29="project",1,0))</f>
        <v>0</v>
      </c>
      <c r="G29" s="51" t="str">
        <f aca="false">IF(B29="","",IF(IF(E29="Altijd",1,IF(E29="Hoogbouw",--(KeuzeHoogbouw="ja"),IF(E29="Zakelijk",--(KeuzeZakelijk="ja"),IF(E29="Bouwtijd &gt; 3 jaar",--(KeuzeBouwtijd="ja"),0))))=1,"ja","nee"))</f>
        <v/>
      </c>
      <c r="H29" s="20" t="n">
        <f aca="false">IF(G29="ja",F29*C29,0)</f>
        <v>0</v>
      </c>
      <c r="I29" s="38"/>
    </row>
    <row r="30" customFormat="false" ht="18.75" hidden="false" customHeight="true" outlineLevel="0" collapsed="false">
      <c r="B30" s="49"/>
      <c r="C30" s="18"/>
      <c r="D30" s="15"/>
      <c r="E30" s="15"/>
      <c r="F30" s="52" t="n">
        <f aca="false">IF(D30="woning",AantalWoningen,IF(D30="project",1,0))</f>
        <v>0</v>
      </c>
      <c r="G30" s="51" t="str">
        <f aca="false">IF(B30="","",IF(IF(E30="Altijd",1,IF(E30="Hoogbouw",--(KeuzeHoogbouw="ja"),IF(E30="Zakelijk",--(KeuzeZakelijk="ja"),IF(E30="Bouwtijd &gt; 3 jaar",--(KeuzeBouwtijd="ja"),0))))=1,"ja","nee"))</f>
        <v/>
      </c>
      <c r="H30" s="20" t="n">
        <f aca="false">IF(G30="ja",F30*C30,0)</f>
        <v>0</v>
      </c>
      <c r="I30" s="38"/>
    </row>
    <row r="31" customFormat="false" ht="18.75" hidden="false" customHeight="true" outlineLevel="0" collapsed="false">
      <c r="B31" s="49"/>
      <c r="C31" s="18"/>
      <c r="D31" s="15"/>
      <c r="E31" s="15"/>
      <c r="F31" s="52" t="n">
        <f aca="false">IF(D31="woning",AantalWoningen,IF(D31="project",1,0))</f>
        <v>0</v>
      </c>
      <c r="G31" s="51" t="str">
        <f aca="false">IF(B31="","",IF(IF(E31="Altijd",1,IF(E31="Hoogbouw",--(KeuzeHoogbouw="ja"),IF(E31="Zakelijk",--(KeuzeZakelijk="ja"),IF(E31="Bouwtijd &gt; 3 jaar",--(KeuzeBouwtijd="ja"),0))))=1,"ja","nee"))</f>
        <v/>
      </c>
      <c r="H31" s="20" t="n">
        <f aca="false">IF(G31="ja",F31*C31,0)</f>
        <v>0</v>
      </c>
      <c r="I31" s="38"/>
    </row>
    <row r="32" customFormat="false" ht="18.75" hidden="false" customHeight="true" outlineLevel="0" collapsed="false">
      <c r="B32" s="49"/>
      <c r="C32" s="18"/>
      <c r="D32" s="15"/>
      <c r="E32" s="15"/>
      <c r="F32" s="52" t="n">
        <f aca="false">IF(D32="woning",AantalWoningen,IF(D32="project",1,0))</f>
        <v>0</v>
      </c>
      <c r="G32" s="51" t="str">
        <f aca="false">IF(B32="","",IF(IF(E32="Altijd",1,IF(E32="Hoogbouw",--(KeuzeHoogbouw="ja"),IF(E32="Zakelijk",--(KeuzeZakelijk="ja"),IF(E32="Bouwtijd &gt; 3 jaar",--(KeuzeBouwtijd="ja"),0))))=1,"ja","nee"))</f>
        <v/>
      </c>
      <c r="H32" s="20" t="n">
        <f aca="false">IF(G32="ja",F32*C32,0)</f>
        <v>0</v>
      </c>
      <c r="I32" s="38"/>
    </row>
    <row r="33" customFormat="false" ht="18.75" hidden="false" customHeight="true" outlineLevel="0" collapsed="false">
      <c r="B33" s="4"/>
      <c r="C33" s="4"/>
      <c r="D33" s="4"/>
      <c r="E33" s="4"/>
      <c r="F33" s="4"/>
      <c r="G33" s="43" t="s">
        <v>72</v>
      </c>
      <c r="H33" s="22" t="n">
        <f aca="false">SUM(H27:H32)</f>
        <v>700</v>
      </c>
      <c r="I33" s="4"/>
    </row>
    <row r="34" customFormat="false" ht="18.75" hidden="false" customHeight="true" outlineLevel="0" collapsed="false">
      <c r="B34" s="4"/>
      <c r="C34" s="4"/>
      <c r="D34" s="4"/>
      <c r="E34" s="4"/>
      <c r="F34" s="4"/>
      <c r="G34" s="4"/>
      <c r="H34" s="4"/>
      <c r="I34" s="4"/>
    </row>
    <row r="35" customFormat="false" ht="24" hidden="false" customHeight="true" outlineLevel="0" collapsed="false">
      <c r="B35" s="31" t="s">
        <v>91</v>
      </c>
      <c r="C35" s="33"/>
      <c r="D35" s="33"/>
      <c r="E35" s="33"/>
      <c r="F35" s="33"/>
      <c r="G35" s="33"/>
      <c r="H35" s="32" t="n">
        <f aca="false">G12+G13+H23+H33</f>
        <v>1411.48</v>
      </c>
      <c r="I35" s="33"/>
    </row>
    <row r="36" customFormat="false" ht="18.75" hidden="false" customHeight="true" outlineLevel="0" collapsed="false">
      <c r="B36" s="4"/>
      <c r="C36" s="4"/>
      <c r="D36" s="4"/>
      <c r="E36" s="4"/>
      <c r="F36" s="4"/>
      <c r="G36" s="4"/>
      <c r="H36" s="4"/>
      <c r="I36" s="4"/>
    </row>
  </sheetData>
  <mergeCells count="8">
    <mergeCell ref="B1:I1"/>
    <mergeCell ref="B2:I2"/>
    <mergeCell ref="B3:I3"/>
    <mergeCell ref="C5:F5"/>
    <mergeCell ref="B7:I7"/>
    <mergeCell ref="B9:I9"/>
    <mergeCell ref="B15:I15"/>
    <mergeCell ref="B25:I25"/>
  </mergeCells>
  <conditionalFormatting sqref="H5">
    <cfRule type="expression" priority="2" aboveAverage="0" equalAverage="0" bottom="0" percent="0" rank="0" text="" dxfId="5">
      <formula>H5="OK"</formula>
    </cfRule>
    <cfRule type="expression" priority="3" aboveAverage="0" equalAverage="0" bottom="0" percent="0" rank="0" text="" dxfId="6">
      <formula>H5&lt;&gt;"OK"</formula>
    </cfRule>
  </conditionalFormatting>
  <dataValidations count="4">
    <dataValidation allowBlank="false" errorStyle="stop" operator="between" showDropDown="false" showErrorMessage="false" showInputMessage="false" sqref="I5" type="list">
      <formula1>"ja,nee"</formula1>
      <formula2>0</formula2>
    </dataValidation>
    <dataValidation allowBlank="false" errorStyle="stop" operator="between" showDropDown="false" showErrorMessage="false" showInputMessage="false" sqref="D17:D22" type="list">
      <formula1>"Sectie I,Sectie II,Aanneemsom incl. btw"</formula1>
      <formula2>0</formula2>
    </dataValidation>
    <dataValidation allowBlank="false" errorStyle="stop" operator="between" showDropDown="false" showErrorMessage="false" showInputMessage="false" sqref="E17:E22 E27:E32" type="list">
      <formula1>"Altijd,Hoogbouw,Zakelijk,Bouwtijd &gt; 3 jaar,Nooit"</formula1>
      <formula2>0</formula2>
    </dataValidation>
    <dataValidation allowBlank="false" errorStyle="stop" operator="between" showDropDown="false" showErrorMessage="false" showInputMessage="false" sqref="D27:D32" type="list">
      <formula1>"woning,project"</formula1>
      <formula2>0</formula2>
    </dataValidation>
  </dataValidations>
  <printOptions headings="false" gridLines="false" gridLinesSet="true" horizontalCentered="false" verticalCentered="false"/>
  <pageMargins left="0.25" right="0.25" top="0.4" bottom="0.4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&amp;C&amp;"Arial,Regular"Heijmans Vastgoed | Tarieven Woningborg&amp;R&amp;"Arial,Regular"Pagina &amp;P van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"/>
    <col collapsed="false" customWidth="true" hidden="false" outlineLevel="0" max="3" min="3" style="0" width="110"/>
  </cols>
  <sheetData>
    <row r="1" customFormat="false" ht="25.5" hidden="false" customHeight="true" outlineLevel="0" collapsed="false">
      <c r="B1" s="1" t="s">
        <v>0</v>
      </c>
      <c r="C1" s="1"/>
    </row>
    <row r="2" customFormat="false" ht="31.5" hidden="false" customHeight="true" outlineLevel="0" collapsed="false">
      <c r="B2" s="2" t="s">
        <v>52</v>
      </c>
      <c r="C2" s="2"/>
    </row>
    <row r="3" customFormat="false" ht="15" hidden="false" customHeight="false" outlineLevel="0" collapsed="false">
      <c r="B3" s="3" t="s">
        <v>92</v>
      </c>
      <c r="C3" s="3"/>
    </row>
    <row r="5" customFormat="false" ht="19.5" hidden="false" customHeight="true" outlineLevel="0" collapsed="false">
      <c r="B5" s="55" t="s">
        <v>93</v>
      </c>
      <c r="C5" s="56" t="s">
        <v>94</v>
      </c>
    </row>
    <row r="6" customFormat="false" ht="19.5" hidden="false" customHeight="true" outlineLevel="0" collapsed="false">
      <c r="B6" s="55" t="s">
        <v>95</v>
      </c>
      <c r="C6" s="56" t="s">
        <v>96</v>
      </c>
    </row>
    <row r="7" customFormat="false" ht="19.5" hidden="false" customHeight="true" outlineLevel="0" collapsed="false">
      <c r="B7" s="55" t="s">
        <v>97</v>
      </c>
      <c r="C7" s="56" t="s">
        <v>98</v>
      </c>
    </row>
    <row r="8" customFormat="false" ht="19.5" hidden="false" customHeight="true" outlineLevel="0" collapsed="false">
      <c r="B8" s="55" t="s">
        <v>99</v>
      </c>
      <c r="C8" s="56" t="s">
        <v>100</v>
      </c>
    </row>
    <row r="9" customFormat="false" ht="19.5" hidden="false" customHeight="true" outlineLevel="0" collapsed="false">
      <c r="B9" s="55"/>
      <c r="C9" s="56"/>
    </row>
    <row r="10" customFormat="false" ht="19.5" hidden="false" customHeight="true" outlineLevel="0" collapsed="false">
      <c r="B10" s="55" t="s">
        <v>101</v>
      </c>
      <c r="C10" s="56" t="s">
        <v>102</v>
      </c>
    </row>
    <row r="11" customFormat="false" ht="19.5" hidden="false" customHeight="true" outlineLevel="0" collapsed="false">
      <c r="B11" s="55" t="s">
        <v>103</v>
      </c>
      <c r="C11" s="56" t="s">
        <v>104</v>
      </c>
    </row>
    <row r="12" customFormat="false" ht="19.5" hidden="false" customHeight="true" outlineLevel="0" collapsed="false">
      <c r="B12" s="55" t="s">
        <v>101</v>
      </c>
      <c r="C12" s="56" t="s">
        <v>105</v>
      </c>
    </row>
  </sheetData>
  <mergeCells count="3">
    <mergeCell ref="B1:C1"/>
    <mergeCell ref="B2:C2"/>
    <mergeCell ref="B3:C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2026-10-22T08:37:33Z</dcterms:created>
  <dc:creator>openpyxl</dc:creator>
  <dc:description/>
  <dc:language>en-US</dc:language>
  <cp:lastModifiedBy/>
  <dcterms:modified xsi:type="dcterms:W3CDTF">2026-10-22T08:37:35Z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