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WK berekening" sheetId="1" state="visible" r:id="rId3"/>
  </sheets>
  <definedNames>
    <definedName function="false" hidden="false" localSheetId="0" name="_xlnm.Print_Area" vbProcedure="false">'SWK berekening'!$A$1:$H$40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<sst xmlns="http://schemas.openxmlformats.org/spreadsheetml/2006/main" count="52" uniqueCount="49">
  <si>
    <t xml:space="preserve">HEIJMANS  |  VASTGOED</t>
  </si>
  <si>
    <t xml:space="preserve">Berekening provisie SWK  |  Garantie- en Waarborgregeling</t>
  </si>
  <si>
    <t xml:space="preserve">Tarieven 2026  ·  Blauwe cijfers op geel = invoer  ·  Grijze cijfers = SWK-tarief  ·  Lichtblauw = berekening</t>
  </si>
  <si>
    <t xml:space="preserve">TOTAAL KOSTEN SWK</t>
  </si>
  <si>
    <t xml:space="preserve">KOSTEN PER WONING</t>
  </si>
  <si>
    <t xml:space="preserve">% AANNEEMSOM INCL. BTW</t>
  </si>
  <si>
    <t xml:space="preserve">STATUS</t>
  </si>
  <si>
    <t xml:space="preserve">INVOER</t>
  </si>
  <si>
    <t xml:space="preserve">Projectnaam</t>
  </si>
  <si>
    <t xml:space="preserve">Optioneel; verschijnt niet in de berekening</t>
  </si>
  <si>
    <t xml:space="preserve">Aantal woningen</t>
  </si>
  <si>
    <t xml:space="preserve">Aanneemsom (excl. btw)</t>
  </si>
  <si>
    <t xml:space="preserve">cf. definitie SWK (zie ook bijlage 3)</t>
  </si>
  <si>
    <t xml:space="preserve">Aanneemsom (incl. btw)</t>
  </si>
  <si>
    <t xml:space="preserve">Aanneemsom per woning (incl. btw)</t>
  </si>
  <si>
    <t xml:space="preserve">BEREKENING</t>
  </si>
  <si>
    <t xml:space="preserve">Kostenpost</t>
  </si>
  <si>
    <t xml:space="preserve">Tarief 2026</t>
  </si>
  <si>
    <t xml:space="preserve">Grondslag</t>
  </si>
  <si>
    <t xml:space="preserve">Keuze</t>
  </si>
  <si>
    <t xml:space="preserve">Bedrag</t>
  </si>
  <si>
    <t xml:space="preserve">Per woning</t>
  </si>
  <si>
    <t xml:space="preserve">Toelichting</t>
  </si>
  <si>
    <t xml:space="preserve">Basisprovisies</t>
  </si>
  <si>
    <t xml:space="preserve">Provisie Sectie I (Afbouw)</t>
  </si>
  <si>
    <t xml:space="preserve">Over 20% van de aanneemsom incl. btw</t>
  </si>
  <si>
    <t xml:space="preserve">↳ grondslag Sectie I</t>
  </si>
  <si>
    <t xml:space="preserve">Aandeel van de aanneemsom waarover Sectie I wordt berekend</t>
  </si>
  <si>
    <t xml:space="preserve">Provisie Sectie II (Kwaliteit)</t>
  </si>
  <si>
    <t xml:space="preserve">Over de aanneemsom incl. btw</t>
  </si>
  <si>
    <t xml:space="preserve">Opslagen en keuzes</t>
  </si>
  <si>
    <t xml:space="preserve">Opslag hoogbouw</t>
  </si>
  <si>
    <t xml:space="preserve">nee</t>
  </si>
  <si>
    <t xml:space="preserve">Opslag over Sectie II; &gt; 13 bouwlagen</t>
  </si>
  <si>
    <t xml:space="preserve">Opslag verlengde garantie zakelijk</t>
  </si>
  <si>
    <t xml:space="preserve">Opslag over Sectie II; alleen bij zakelijke opdrachtgever</t>
  </si>
  <si>
    <t xml:space="preserve">Opslag prognose bouwtijd &gt; 3 jaar</t>
  </si>
  <si>
    <t xml:space="preserve">Opslag over Sectie I; start bouw tot 1e oplevering &gt; 3 jaar</t>
  </si>
  <si>
    <t xml:space="preserve">Overige kosten</t>
  </si>
  <si>
    <t xml:space="preserve">Bureaukosten, voorschot</t>
  </si>
  <si>
    <t xml:space="preserve">Totaal kosten SWK</t>
  </si>
  <si>
    <t xml:space="preserve">CONTROLES</t>
  </si>
  <si>
    <t xml:space="preserve">AANDACHTSPUNTEN</t>
  </si>
  <si>
    <t xml:space="preserve">Invoer compleet</t>
  </si>
  <si>
    <t xml:space="preserve">• Technische beoordeling, bijvoorbeeld bij transformatie of hoogbouw (&gt; 25 bouwlagen).</t>
  </si>
  <si>
    <t xml:space="preserve">Keuzes geldig</t>
  </si>
  <si>
    <t xml:space="preserve">• Beoordeling van een afwijkende termijnregeling.</t>
  </si>
  <si>
    <t xml:space="preserve">Rekenstatus</t>
  </si>
  <si>
    <t xml:space="preserve">ⓘ  Deze berekening geldt alleen voor plannen waarop de volledige Garantie- en Waarborgregeling van toepassing is en waarin geen parkeerplaatsen separaat worden verkocht.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</si>
</sst>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&quot;€ &quot;#,##0;[RED]&quot;(€ &quot;#,##0\);\-"/>
    <numFmt numFmtId="166" formatCode="0.00%"/>
    <numFmt numFmtId="167" formatCode="#,##0"/>
    <numFmt numFmtId="168" formatCode="0%"/>
    <numFmt numFmtId="169" formatCode="0.0000%"/>
    <numFmt numFmtId="170" formatCode="0.0%"/>
    <numFmt numFmtId="171" formatCode="#,##0&quot; won.&quot;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EB900"/>
      <name val="Arial"/>
      <family val="0"/>
      <charset val="1"/>
    </font>
    <font>
      <b val="true"/>
      <sz val="16"/>
      <color rgb="FF111F39"/>
      <name val="Arial"/>
      <family val="0"/>
      <charset val="1"/>
    </font>
    <font>
      <i val="true"/>
      <sz val="9"/>
      <color rgb="FF4A4F55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8"/>
      <color rgb="FF111F3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9"/>
      <color rgb="FF4A4F55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11F3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4A4F55"/>
      <name val="Arial"/>
      <family val="0"/>
      <charset val="1"/>
    </font>
    <font>
      <b val="true"/>
      <sz val="9"/>
      <color rgb="FF111F39"/>
      <name val="Arial"/>
      <family val="0"/>
      <charset val="1"/>
    </font>
    <font>
      <b val="true"/>
      <i val="true"/>
      <sz val="9"/>
      <color rgb="FF003B5C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1"/>
      <color rgb="FF111F3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11F39"/>
        <bgColor rgb="FF003300"/>
      </patternFill>
    </fill>
    <fill>
      <patternFill patternType="solid">
        <fgColor rgb="FFFEB900"/>
        <bgColor rgb="FFFF9900"/>
      </patternFill>
    </fill>
    <fill>
      <patternFill patternType="solid">
        <fgColor rgb="FF003B5C"/>
        <bgColor rgb="FF111F39"/>
      </patternFill>
    </fill>
    <fill>
      <patternFill patternType="solid">
        <fgColor rgb="FFEAF3F8"/>
        <bgColor rgb="FFF2F3F4"/>
      </patternFill>
    </fill>
    <fill>
      <patternFill patternType="solid">
        <fgColor rgb="FFFFF3C4"/>
        <bgColor rgb="FFFFFF99"/>
      </patternFill>
    </fill>
    <fill>
      <patternFill patternType="solid">
        <fgColor rgb="FFF2F3F4"/>
        <bgColor rgb="FFEAF3F8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003B5C"/>
      </bottom>
      <diagonal/>
    </border>
    <border diagonalUp="false" diagonalDown="false">
      <left/>
      <right/>
      <top/>
      <bottom style="thin">
        <color rgb="FFD0D5DD"/>
      </bottom>
      <diagonal/>
    </border>
    <border diagonalUp="false" diagonalDown="false">
      <left/>
      <right/>
      <top/>
      <bottom style="medium">
        <color rgb="FF111F39"/>
      </bottom>
      <diagonal/>
    </border>
    <border diagonalUp="false" diagonalDown="false">
      <left/>
      <right/>
      <top style="medium">
        <color rgb="FF111F39"/>
      </top>
      <bottom style="medium">
        <color rgb="FF111F3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1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7" fontId="11" fillId="6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6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5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5" fillId="5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6" fillId="5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19" fillId="7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6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2" shrinkToFit="false"/>
      <protection locked="true" hidden="false"/>
    </xf>
    <xf numFmtId="168" fontId="19" fillId="7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19" fillId="7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7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16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0" fillId="3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4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20" fillId="3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3" borderId="4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12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b val="1"/>
        <color rgb="FF38761D"/>
      </font>
    </dxf>
    <dxf>
      <font>
        <b val="1"/>
        <color rgb="FFCC0000"/>
      </font>
    </dxf>
    <dxf>
      <fill>
        <patternFill>
          <bgColor rgb="FFD9EAD3"/>
        </patternFill>
      </fill>
    </dxf>
    <dxf>
      <fill>
        <patternFill>
          <bgColor rgb="FFF4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38761D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4"/>
      <rgbColor rgb="FFEAF3F8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3F4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EB900"/>
      <rgbColor rgb="FFFF9900"/>
      <rgbColor rgb="FFFF6600"/>
      <rgbColor rgb="FF666666"/>
      <rgbColor rgb="FF969696"/>
      <rgbColor rgb="FF003B5C"/>
      <rgbColor rgb="FF339966"/>
      <rgbColor rgb="FF003300"/>
      <rgbColor rgb="FF333300"/>
      <rgbColor rgb="FF993300"/>
      <rgbColor rgb="FF993366"/>
      <rgbColor rgb="FF4A4F55"/>
      <rgbColor rgb="FF111F3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H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3" min="3" style="0" width="13"/>
    <col collapsed="false" customWidth="true" hidden="false" outlineLevel="0" max="4" min="4" style="0" width="16"/>
    <col collapsed="false" customWidth="true" hidden="false" outlineLevel="0" max="5" min="5" style="0" width="9"/>
    <col collapsed="false" customWidth="true" hidden="false" outlineLevel="0" max="6" min="6" style="0" width="15"/>
    <col collapsed="false" customWidth="true" hidden="false" outlineLevel="0" max="7" min="7" style="0" width="14"/>
    <col collapsed="false" customWidth="true" hidden="false" outlineLevel="0" max="8" min="8" style="0" width="56"/>
  </cols>
  <sheetData>
    <row r="1" customFormat="false" ht="25.5" hidden="false" customHeight="true" outlineLevel="0" collapsed="false">
      <c r="B1" s="1" t="s">
        <v>0</v>
      </c>
      <c r="C1" s="1"/>
      <c r="D1" s="1"/>
      <c r="E1" s="1"/>
      <c r="F1" s="1"/>
      <c r="G1" s="1"/>
      <c r="H1" s="1"/>
    </row>
    <row r="2" customFormat="false" ht="31.5" hidden="false" customHeight="true" outlineLevel="0" collapsed="false">
      <c r="B2" s="2" t="s">
        <v>1</v>
      </c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B3" s="3" t="s">
        <v>2</v>
      </c>
      <c r="C3" s="3"/>
      <c r="D3" s="3"/>
      <c r="E3" s="3"/>
      <c r="F3" s="3"/>
      <c r="G3" s="3"/>
      <c r="H3" s="3"/>
    </row>
    <row r="4" customFormat="false" ht="15" hidden="false" customHeight="false" outlineLevel="0" collapsed="false">
      <c r="B4" s="4"/>
      <c r="C4" s="4"/>
      <c r="D4" s="4"/>
      <c r="E4" s="4"/>
      <c r="F4" s="4"/>
      <c r="G4" s="4"/>
      <c r="H4" s="5"/>
    </row>
    <row r="5" customFormat="false" ht="15" hidden="false" customHeight="false" outlineLevel="0" collapsed="false">
      <c r="B5" s="6" t="s">
        <v>3</v>
      </c>
      <c r="C5" s="7" t="s">
        <v>4</v>
      </c>
      <c r="D5" s="7"/>
      <c r="E5" s="7" t="s">
        <v>5</v>
      </c>
      <c r="F5" s="7"/>
      <c r="G5" s="7" t="s">
        <v>6</v>
      </c>
      <c r="H5" s="7"/>
    </row>
    <row r="6" customFormat="false" ht="15" hidden="false" customHeight="false" outlineLevel="0" collapsed="false">
      <c r="B6" s="8" t="n">
        <f aca="false">F30</f>
        <v>1471.44072</v>
      </c>
      <c r="C6" s="8" t="n">
        <f aca="false">G30</f>
        <v>1471.44072</v>
      </c>
      <c r="D6" s="8"/>
      <c r="E6" s="9" t="n">
        <f aca="false">IFERROR(F30/D14,0)</f>
        <v>0.00289539693034239</v>
      </c>
      <c r="F6" s="9"/>
      <c r="G6" s="10" t="str">
        <f aca="false">IF(AND(D35="OK",D36="OK",D37="OK"),"OK","CONTROLEREN")</f>
        <v>OK</v>
      </c>
      <c r="H6" s="10"/>
    </row>
    <row r="7" customFormat="false" ht="15" hidden="false" customHeight="false" outlineLevel="0" collapsed="false">
      <c r="B7" s="8"/>
      <c r="C7" s="8"/>
      <c r="D7" s="8"/>
      <c r="E7" s="9"/>
      <c r="F7" s="9"/>
      <c r="G7" s="10"/>
      <c r="H7" s="10"/>
    </row>
    <row r="8" customFormat="false" ht="15" hidden="false" customHeight="false" outlineLevel="0" collapsed="false">
      <c r="B8" s="4"/>
      <c r="C8" s="4"/>
      <c r="D8" s="4"/>
      <c r="E8" s="4"/>
      <c r="F8" s="4"/>
      <c r="G8" s="4"/>
      <c r="H8" s="5"/>
    </row>
    <row r="9" customFormat="false" ht="19.5" hidden="false" customHeight="true" outlineLevel="0" collapsed="false">
      <c r="B9" s="11" t="s">
        <v>7</v>
      </c>
      <c r="C9" s="11"/>
      <c r="D9" s="11"/>
      <c r="E9" s="11"/>
      <c r="F9" s="11"/>
      <c r="G9" s="11"/>
      <c r="H9" s="11"/>
    </row>
    <row r="10" customFormat="false" ht="18.75" hidden="false" customHeight="true" outlineLevel="0" collapsed="false">
      <c r="B10" s="12" t="s">
        <v>8</v>
      </c>
      <c r="C10" s="4"/>
      <c r="D10" s="13"/>
      <c r="E10" s="13"/>
      <c r="F10" s="13"/>
      <c r="G10" s="4"/>
      <c r="H10" s="14" t="s">
        <v>9</v>
      </c>
    </row>
    <row r="11" customFormat="false" ht="18.75" hidden="false" customHeight="true" outlineLevel="0" collapsed="false">
      <c r="B11" s="12" t="s">
        <v>10</v>
      </c>
      <c r="C11" s="4"/>
      <c r="D11" s="15" t="n">
        <v>1</v>
      </c>
      <c r="E11" s="4"/>
      <c r="F11" s="4"/>
      <c r="G11" s="4"/>
      <c r="H11" s="5"/>
    </row>
    <row r="12" customFormat="false" ht="18.75" hidden="false" customHeight="true" outlineLevel="0" collapsed="false">
      <c r="B12" s="12" t="s">
        <v>11</v>
      </c>
      <c r="C12" s="4"/>
      <c r="D12" s="16" t="n">
        <v>420000</v>
      </c>
      <c r="E12" s="4"/>
      <c r="F12" s="4"/>
      <c r="G12" s="4"/>
      <c r="H12" s="14" t="s">
        <v>12</v>
      </c>
    </row>
    <row r="13" customFormat="false" ht="18.75" hidden="false" customHeight="true" outlineLevel="0" collapsed="false">
      <c r="B13" s="12" t="str">
        <f aca="false">"Btw ("&amp;TEXT(C13,"0%")&amp;")"</f>
        <v>Btw (21%)</v>
      </c>
      <c r="C13" s="17" t="n">
        <v>0.21</v>
      </c>
      <c r="D13" s="18" t="n">
        <f aca="false">D12*C13</f>
        <v>88200</v>
      </c>
      <c r="E13" s="4"/>
      <c r="F13" s="4"/>
      <c r="G13" s="4"/>
      <c r="H13" s="5"/>
    </row>
    <row r="14" customFormat="false" ht="18.75" hidden="false" customHeight="true" outlineLevel="0" collapsed="false">
      <c r="B14" s="19" t="s">
        <v>13</v>
      </c>
      <c r="C14" s="4"/>
      <c r="D14" s="20" t="n">
        <f aca="false">SUM(D12:D13)</f>
        <v>508200</v>
      </c>
      <c r="E14" s="4"/>
      <c r="F14" s="4"/>
      <c r="G14" s="4"/>
      <c r="H14" s="5"/>
    </row>
    <row r="15" customFormat="false" ht="18.75" hidden="false" customHeight="true" outlineLevel="0" collapsed="false">
      <c r="B15" s="21" t="s">
        <v>14</v>
      </c>
      <c r="C15" s="4"/>
      <c r="D15" s="22" t="n">
        <f aca="false">IFERROR(D14/D11,0)</f>
        <v>508200</v>
      </c>
      <c r="E15" s="4"/>
      <c r="F15" s="4"/>
      <c r="G15" s="4"/>
      <c r="H15" s="5"/>
    </row>
    <row r="16" customFormat="false" ht="18.75" hidden="false" customHeight="true" outlineLevel="0" collapsed="false">
      <c r="B16" s="4"/>
      <c r="C16" s="4"/>
      <c r="D16" s="4"/>
      <c r="E16" s="4"/>
      <c r="F16" s="4"/>
      <c r="G16" s="4"/>
      <c r="H16" s="5"/>
    </row>
    <row r="17" customFormat="false" ht="19.5" hidden="false" customHeight="true" outlineLevel="0" collapsed="false">
      <c r="B17" s="11" t="s">
        <v>15</v>
      </c>
      <c r="C17" s="11"/>
      <c r="D17" s="11"/>
      <c r="E17" s="11"/>
      <c r="F17" s="11"/>
      <c r="G17" s="11"/>
      <c r="H17" s="11"/>
    </row>
    <row r="18" customFormat="false" ht="18.75" hidden="false" customHeight="true" outlineLevel="0" collapsed="false">
      <c r="B18" s="23" t="s">
        <v>16</v>
      </c>
      <c r="C18" s="24" t="s">
        <v>17</v>
      </c>
      <c r="D18" s="24" t="s">
        <v>18</v>
      </c>
      <c r="E18" s="25" t="s">
        <v>19</v>
      </c>
      <c r="F18" s="24" t="s">
        <v>20</v>
      </c>
      <c r="G18" s="24" t="s">
        <v>21</v>
      </c>
      <c r="H18" s="26" t="s">
        <v>22</v>
      </c>
    </row>
    <row r="19" customFormat="false" ht="18.75" hidden="false" customHeight="true" outlineLevel="0" collapsed="false">
      <c r="B19" s="27" t="s">
        <v>23</v>
      </c>
      <c r="C19" s="4"/>
      <c r="D19" s="4"/>
      <c r="E19" s="4"/>
      <c r="F19" s="4"/>
      <c r="G19" s="4"/>
      <c r="H19" s="5"/>
    </row>
    <row r="20" customFormat="false" ht="18.75" hidden="false" customHeight="true" outlineLevel="0" collapsed="false">
      <c r="B20" s="28" t="s">
        <v>24</v>
      </c>
      <c r="C20" s="29" t="n">
        <v>0.005198</v>
      </c>
      <c r="D20" s="30" t="n">
        <f aca="false">D14*C21</f>
        <v>101640</v>
      </c>
      <c r="E20" s="4"/>
      <c r="F20" s="18" t="n">
        <f aca="false">D20*C20</f>
        <v>528.32472</v>
      </c>
      <c r="G20" s="31" t="n">
        <f aca="false">IFERROR(F20/$D$11,0)</f>
        <v>528.32472</v>
      </c>
      <c r="H20" s="14" t="s">
        <v>25</v>
      </c>
    </row>
    <row r="21" customFormat="false" ht="18.75" hidden="false" customHeight="true" outlineLevel="0" collapsed="false">
      <c r="B21" s="32" t="s">
        <v>26</v>
      </c>
      <c r="C21" s="33" t="n">
        <v>0.2</v>
      </c>
      <c r="D21" s="4"/>
      <c r="E21" s="4"/>
      <c r="F21" s="4"/>
      <c r="G21" s="4"/>
      <c r="H21" s="14" t="s">
        <v>27</v>
      </c>
    </row>
    <row r="22" customFormat="false" ht="18.75" hidden="false" customHeight="true" outlineLevel="0" collapsed="false">
      <c r="B22" s="28" t="s">
        <v>28</v>
      </c>
      <c r="C22" s="29" t="n">
        <v>0.00038</v>
      </c>
      <c r="D22" s="30" t="n">
        <f aca="false">D14</f>
        <v>508200</v>
      </c>
      <c r="E22" s="4"/>
      <c r="F22" s="18" t="n">
        <f aca="false">D22*C22</f>
        <v>193.116</v>
      </c>
      <c r="G22" s="31" t="n">
        <f aca="false">IFERROR(F22/$D$11,0)</f>
        <v>193.116</v>
      </c>
      <c r="H22" s="14" t="s">
        <v>29</v>
      </c>
    </row>
    <row r="23" customFormat="false" ht="18.75" hidden="false" customHeight="true" outlineLevel="0" collapsed="false">
      <c r="B23" s="27" t="s">
        <v>30</v>
      </c>
      <c r="C23" s="4"/>
      <c r="D23" s="4"/>
      <c r="E23" s="4"/>
      <c r="F23" s="4"/>
      <c r="G23" s="4"/>
      <c r="H23" s="5"/>
    </row>
    <row r="24" customFormat="false" ht="18.75" hidden="false" customHeight="true" outlineLevel="0" collapsed="false">
      <c r="B24" s="28" t="s">
        <v>31</v>
      </c>
      <c r="C24" s="34" t="n">
        <v>0.303</v>
      </c>
      <c r="D24" s="30" t="n">
        <f aca="false">F22</f>
        <v>193.116</v>
      </c>
      <c r="E24" s="35" t="s">
        <v>32</v>
      </c>
      <c r="F24" s="18" t="n">
        <f aca="false">IF(E24="ja",D24*C24,0)</f>
        <v>0</v>
      </c>
      <c r="G24" s="31" t="n">
        <f aca="false">IFERROR(F24/$D$11,0)</f>
        <v>0</v>
      </c>
      <c r="H24" s="14" t="s">
        <v>33</v>
      </c>
    </row>
    <row r="25" customFormat="false" ht="18.75" hidden="false" customHeight="true" outlineLevel="0" collapsed="false">
      <c r="B25" s="28" t="s">
        <v>34</v>
      </c>
      <c r="C25" s="34" t="n">
        <v>0.1</v>
      </c>
      <c r="D25" s="30" t="n">
        <f aca="false">F22</f>
        <v>193.116</v>
      </c>
      <c r="E25" s="35" t="s">
        <v>32</v>
      </c>
      <c r="F25" s="18" t="n">
        <f aca="false">IF(E25="ja",D25*C25,0)</f>
        <v>0</v>
      </c>
      <c r="G25" s="31" t="n">
        <f aca="false">IFERROR(F25/$D$11,0)</f>
        <v>0</v>
      </c>
      <c r="H25" s="14" t="s">
        <v>35</v>
      </c>
    </row>
    <row r="26" customFormat="false" ht="18.75" hidden="false" customHeight="true" outlineLevel="0" collapsed="false">
      <c r="B26" s="28" t="s">
        <v>36</v>
      </c>
      <c r="C26" s="34" t="n">
        <v>0.1</v>
      </c>
      <c r="D26" s="30" t="n">
        <f aca="false">F20</f>
        <v>528.32472</v>
      </c>
      <c r="E26" s="35" t="s">
        <v>32</v>
      </c>
      <c r="F26" s="18" t="n">
        <f aca="false">IF(E26="ja",D26*C26,0)</f>
        <v>0</v>
      </c>
      <c r="G26" s="31" t="n">
        <f aca="false">IFERROR(F26/$D$11,0)</f>
        <v>0</v>
      </c>
      <c r="H26" s="14" t="s">
        <v>37</v>
      </c>
    </row>
    <row r="27" customFormat="false" ht="18.75" hidden="false" customHeight="true" outlineLevel="0" collapsed="false">
      <c r="B27" s="27" t="s">
        <v>38</v>
      </c>
      <c r="C27" s="4"/>
      <c r="D27" s="4"/>
      <c r="E27" s="4"/>
      <c r="F27" s="4"/>
      <c r="G27" s="4"/>
      <c r="H27" s="5"/>
    </row>
    <row r="28" customFormat="false" ht="18.75" hidden="false" customHeight="true" outlineLevel="0" collapsed="false">
      <c r="B28" s="28" t="s">
        <v>39</v>
      </c>
      <c r="C28" s="36" t="n">
        <v>750</v>
      </c>
      <c r="D28" s="37" t="n">
        <f aca="false">D11</f>
        <v>1</v>
      </c>
      <c r="E28" s="4"/>
      <c r="F28" s="18" t="n">
        <f aca="false">D28*C28</f>
        <v>750</v>
      </c>
      <c r="G28" s="31" t="n">
        <f aca="false">IFERROR(F28/$D$11,0)</f>
        <v>750</v>
      </c>
      <c r="H28" s="14" t="s">
        <v>21</v>
      </c>
    </row>
    <row r="29" customFormat="false" ht="18.75" hidden="false" customHeight="true" outlineLevel="0" collapsed="false">
      <c r="B29" s="4"/>
      <c r="C29" s="4"/>
      <c r="D29" s="4"/>
      <c r="E29" s="4"/>
      <c r="F29" s="4"/>
      <c r="G29" s="4"/>
      <c r="H29" s="5"/>
    </row>
    <row r="30" customFormat="false" ht="24" hidden="false" customHeight="true" outlineLevel="0" collapsed="false">
      <c r="B30" s="38" t="s">
        <v>40</v>
      </c>
      <c r="C30" s="39"/>
      <c r="D30" s="39"/>
      <c r="E30" s="39"/>
      <c r="F30" s="40" t="n">
        <f aca="false">SUM(F20:F28)</f>
        <v>1471.44072</v>
      </c>
      <c r="G30" s="40" t="n">
        <f aca="false">IFERROR(F30/D11,0)</f>
        <v>1471.44072</v>
      </c>
      <c r="H30" s="41" t="str">
        <f aca="false">"= "&amp;TEXT(IFERROR(F30/D14,0),"0.00%")&amp;" van de aanneemsom incl. btw"</f>
        <v>= 0.29% van de aanneemsom incl. btw</v>
      </c>
    </row>
    <row r="31" customFormat="false" ht="18.75" hidden="false" customHeight="true" outlineLevel="0" collapsed="false">
      <c r="B31" s="4"/>
      <c r="C31" s="4"/>
      <c r="D31" s="4"/>
      <c r="E31" s="4"/>
      <c r="F31" s="4"/>
      <c r="G31" s="4"/>
      <c r="H31" s="5"/>
    </row>
    <row r="32" customFormat="false" ht="18.75" hidden="false" customHeight="true" outlineLevel="0" collapsed="false">
      <c r="B32" s="4"/>
      <c r="C32" s="4"/>
      <c r="D32" s="4"/>
      <c r="E32" s="4"/>
      <c r="F32" s="4"/>
      <c r="G32" s="4"/>
      <c r="H32" s="5"/>
    </row>
    <row r="33" customFormat="false" ht="19.5" hidden="false" customHeight="true" outlineLevel="0" collapsed="false">
      <c r="B33" s="11" t="s">
        <v>41</v>
      </c>
      <c r="C33" s="11"/>
      <c r="D33" s="11"/>
      <c r="E33" s="4"/>
      <c r="F33" s="11" t="s">
        <v>42</v>
      </c>
      <c r="G33" s="11"/>
      <c r="H33" s="11"/>
    </row>
    <row r="34" customFormat="false" ht="18.75" hidden="false" customHeight="true" outlineLevel="0" collapsed="false">
      <c r="B34" s="4"/>
      <c r="C34" s="4"/>
      <c r="D34" s="4"/>
      <c r="E34" s="4"/>
      <c r="F34" s="4"/>
      <c r="G34" s="4"/>
      <c r="H34" s="5"/>
    </row>
    <row r="35" customFormat="false" ht="18.75" hidden="false" customHeight="true" outlineLevel="0" collapsed="false">
      <c r="B35" s="42" t="s">
        <v>43</v>
      </c>
      <c r="C35" s="43"/>
      <c r="D35" s="44" t="str">
        <f aca="false">IF(AND(D12&gt;0,D11&gt;0),"OK","AANVULLEN")</f>
        <v>OK</v>
      </c>
      <c r="E35" s="4"/>
      <c r="F35" s="45" t="s">
        <v>44</v>
      </c>
      <c r="G35" s="45"/>
      <c r="H35" s="45"/>
    </row>
    <row r="36" customFormat="false" ht="18.75" hidden="false" customHeight="true" outlineLevel="0" collapsed="false">
      <c r="B36" s="42" t="s">
        <v>45</v>
      </c>
      <c r="C36" s="43"/>
      <c r="D36" s="44" t="str">
        <f aca="false">IF(AND(OR(E24="ja",E24="nee"),OR(E25="ja",E25="nee"),OR(E26="ja",E26="nee")),"OK","CONTROLEREN")</f>
        <v>OK</v>
      </c>
      <c r="E36" s="4"/>
      <c r="F36" s="45" t="s">
        <v>46</v>
      </c>
      <c r="G36" s="45"/>
      <c r="H36" s="45"/>
    </row>
    <row r="37" customFormat="false" ht="18.75" hidden="false" customHeight="true" outlineLevel="0" collapsed="false">
      <c r="B37" s="42" t="s">
        <v>47</v>
      </c>
      <c r="C37" s="43"/>
      <c r="D37" s="44" t="str">
        <f aca="false">IF(AND(F30&gt;=0,D14&gt;0),"OK","CONTROLEREN")</f>
        <v>OK</v>
      </c>
      <c r="E37" s="4"/>
      <c r="F37" s="4"/>
      <c r="G37" s="4"/>
      <c r="H37" s="5"/>
    </row>
    <row r="38" customFormat="false" ht="18.75" hidden="false" customHeight="true" outlineLevel="0" collapsed="false">
      <c r="B38" s="4"/>
      <c r="C38" s="4"/>
      <c r="D38" s="4"/>
      <c r="E38" s="4"/>
      <c r="F38" s="4"/>
      <c r="G38" s="4"/>
      <c r="H38" s="5"/>
    </row>
    <row r="39" customFormat="false" ht="18.75" hidden="false" customHeight="true" outlineLevel="0" collapsed="false">
      <c r="B39" s="4"/>
      <c r="C39" s="4"/>
      <c r="D39" s="4"/>
      <c r="E39" s="4"/>
      <c r="F39" s="4"/>
      <c r="G39" s="4"/>
      <c r="H39" s="5"/>
    </row>
    <row r="40" customFormat="false" ht="25.5" hidden="false" customHeight="true" outlineLevel="0" collapsed="false">
      <c r="B40" s="46" t="s">
        <v>48</v>
      </c>
      <c r="C40" s="46"/>
      <c r="D40" s="46"/>
      <c r="E40" s="46"/>
      <c r="F40" s="46"/>
      <c r="G40" s="46"/>
      <c r="H40" s="46"/>
    </row>
  </sheetData>
  <mergeCells count="18">
    <mergeCell ref="B1:H1"/>
    <mergeCell ref="B2:H2"/>
    <mergeCell ref="B3:H3"/>
    <mergeCell ref="C5:D5"/>
    <mergeCell ref="E5:F5"/>
    <mergeCell ref="G5:H5"/>
    <mergeCell ref="B6:B7"/>
    <mergeCell ref="C6:D7"/>
    <mergeCell ref="E6:F7"/>
    <mergeCell ref="G6:H7"/>
    <mergeCell ref="B9:H9"/>
    <mergeCell ref="D10:F10"/>
    <mergeCell ref="B17:H17"/>
    <mergeCell ref="B33:D33"/>
    <mergeCell ref="F33:H33"/>
    <mergeCell ref="F35:H35"/>
    <mergeCell ref="F36:H36"/>
    <mergeCell ref="B40:H40"/>
  </mergeCells>
  <conditionalFormatting sqref="G6">
    <cfRule type="expression" priority="2" aboveAverage="0" equalAverage="0" bottom="0" percent="0" rank="0" text="" dxfId="0">
      <formula>G6="OK"</formula>
    </cfRule>
    <cfRule type="expression" priority="3" aboveAverage="0" equalAverage="0" bottom="0" percent="0" rank="0" text="" dxfId="1">
      <formula>G6&lt;&gt;"OK"</formula>
    </cfRule>
  </conditionalFormatting>
  <conditionalFormatting sqref="D35:D37">
    <cfRule type="expression" priority="4" aboveAverage="0" equalAverage="0" bottom="0" percent="0" rank="0" text="" dxfId="2">
      <formula>D35="OK"</formula>
    </cfRule>
    <cfRule type="expression" priority="5" aboveAverage="0" equalAverage="0" bottom="0" percent="0" rank="0" text="" dxfId="3">
      <formula>D35&lt;&gt;"OK"</formula>
    </cfRule>
  </conditionalFormatting>
  <dataValidations count="1">
    <dataValidation allowBlank="false" error="Kies ja of nee." errorStyle="stop" errorTitle="Ongeldige keuze" operator="between" showDropDown="false" showErrorMessage="true" showInputMessage="false" sqref="E24:E26" type="list">
      <formula1>"ja,nee"</formula1>
      <formula2>0</formula2>
    </dataValidation>
  </dataValidations>
  <printOptions headings="false" gridLines="false" gridLinesSet="true" horizontalCentered="false" verticalCentered="false"/>
  <pageMargins left="0.25" right="0.25" top="0.4" bottom="0.4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&amp;C&amp;"Arial,Regular"Heijmans Vastgoed | SWK-berekening&amp;R&amp;"Arial,Regular"Pagina &amp;P van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2026-10-22T08:34:56Z</dcterms:created>
  <dc:creator>openpyxl</dc:creator>
  <dc:description/>
  <dc:language>en-US</dc:language>
  <cp:lastModifiedBy/>
  <dcterms:modified xsi:type="dcterms:W3CDTF">2026-10-22T08:34:56Z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