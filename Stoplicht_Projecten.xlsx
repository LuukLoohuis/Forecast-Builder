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plicht" sheetId="1" state="visible" r:id="rId3"/>
    <sheet name="Uitleg" sheetId="2" state="visible" r:id="rId4"/>
  </sheets>
  <definedNames>
    <definedName function="false" hidden="false" localSheetId="0" name="_xlnm.Print_Titles" vbProcedure="false">Stoplicht!$5:$5</definedName>
    <definedName function="false" hidden="true" localSheetId="0" name="_xlnm._FilterDatabase" vbProcedure="false">Stoplicht!$A$5:$M$35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Wordt automatisch 'V' zodra Verkocht % (kolom J) de groen-grens haalt (standaard 70%).</t>
        </r>
      </text>
    </comment>
    <comment ref="G5" authorId="0">
      <text>
        <r>
          <rPr>
            <sz val="10"/>
            <rFont val="Arial"/>
            <family val="2"/>
          </rPr>
          <t xml:space="preserve">Typ of kies 'V' als de omgevingsvergunning is verleend. Leeg = nog niet verleend = rood.</t>
        </r>
      </text>
    </comment>
    <comment ref="H5" authorId="0">
      <text>
        <r>
          <rPr>
            <sz val="10"/>
            <rFont val="Arial"/>
            <family val="2"/>
          </rPr>
          <t xml:space="preserve">Raad van State: 'Geen' = groen. Elke andere keuze kleurt volgens de tabel rechts.</t>
        </r>
      </text>
    </comment>
    <comment ref="I5" authorId="0">
      <text>
        <r>
          <rPr>
            <sz val="10"/>
            <rFont val="Arial"/>
            <family val="2"/>
          </rPr>
          <t xml:space="preserve">Netcongestie: Geen = groen, Laag/Midden = oranje, Hoog = rood (aanpasbaar rechts).</t>
        </r>
      </text>
    </comment>
    <comment ref="J5" authorId="0">
      <text>
        <r>
          <rPr>
            <sz val="10"/>
            <rFont val="Arial"/>
            <family val="2"/>
          </rPr>
          <t xml:space="preserve">Percentage verkochte woningen, bijv. 58%.</t>
        </r>
      </text>
    </comment>
    <comment ref="L5" authorId="0">
      <text>
        <r>
          <rPr>
            <sz val="10"/>
            <rFont val="Arial"/>
            <family val="2"/>
          </rPr>
          <t xml:space="preserve">Slechtste van de vier stoplichten. Blijft grijs (○) tot alle vier zijn ingevuld.</t>
        </r>
      </text>
    </comment>
  </commentList>
</comments>
</file>

<file path=xl/sharedStrings.xml><?xml version="1.0" encoding="utf-8"?>
<sst xmlns="http://schemas.openxmlformats.org/spreadsheetml/2006/main" count="115" uniqueCount="91">
  <si>
    <t xml:space="preserve">Stoplicht projecten</t>
  </si>
  <si>
    <t xml:space="preserve">Totaalscore projecten</t>
  </si>
  <si>
    <t xml:space="preserve">Vul alleen de gele cellen in (kolom E, G t/m K). De stoplichten in kolom A t/m D en L springen automatisch op rood, oranje of groen. Grenzen en regels pas je aan in het blok rechts.</t>
  </si>
  <si>
    <t xml:space="preserve">STOPLICHT (automatisch)</t>
  </si>
  <si>
    <t xml:space="preserve">INVOER (gele cellen)</t>
  </si>
  <si>
    <t xml:space="preserve">TOTAAL</t>
  </si>
  <si>
    <t xml:space="preserve">NOTITIES</t>
  </si>
  <si>
    <t xml:space="preserve">INSTELLINGEN &amp; LEGENDA</t>
  </si>
  <si>
    <t xml:space="preserve">Verkoop</t>
  </si>
  <si>
    <t xml:space="preserve">Vergunning</t>
  </si>
  <si>
    <t xml:space="preserve">RvS</t>
  </si>
  <si>
    <t xml:space="preserve">Net-
congestie</t>
  </si>
  <si>
    <t xml:space="preserve">Project</t>
  </si>
  <si>
    <t xml:space="preserve">Verkoop ✔
(≥ groen-grens)</t>
  </si>
  <si>
    <t xml:space="preserve">Omgevings-
vergunning ✔</t>
  </si>
  <si>
    <t xml:space="preserve">Netcongestie</t>
  </si>
  <si>
    <t xml:space="preserve">Verkocht %</t>
  </si>
  <si>
    <t xml:space="preserve">Fase</t>
  </si>
  <si>
    <t xml:space="preserve">Totaal</t>
  </si>
  <si>
    <t xml:space="preserve">Toelichting</t>
  </si>
  <si>
    <t xml:space="preserve">Betekenis stoplicht</t>
  </si>
  <si>
    <t xml:space="preserve">De Hoven fase 1</t>
  </si>
  <si>
    <t xml:space="preserve">V</t>
  </si>
  <si>
    <t xml:space="preserve">Geen</t>
  </si>
  <si>
    <t xml:space="preserve">In verkoop</t>
  </si>
  <si>
    <t xml:space="preserve">Voorbeeld – alles op groen</t>
  </si>
  <si>
    <t xml:space="preserve">Groen – op koers / gehaald</t>
  </si>
  <si>
    <t xml:space="preserve">Parkzicht</t>
  </si>
  <si>
    <t xml:space="preserve">Midden</t>
  </si>
  <si>
    <t xml:space="preserve">Start bouw</t>
  </si>
  <si>
    <t xml:space="preserve">Voorbeeld – 58% verkocht = oranje; netcongestie midden = oranje</t>
  </si>
  <si>
    <t xml:space="preserve">Oranje – aandacht nodig</t>
  </si>
  <si>
    <t xml:space="preserve">Waterfront</t>
  </si>
  <si>
    <t xml:space="preserve">Lopend</t>
  </si>
  <si>
    <t xml:space="preserve">Hoog</t>
  </si>
  <si>
    <t xml:space="preserve">Initiatief</t>
  </si>
  <si>
    <t xml:space="preserve">Voorbeeld – alles op rood</t>
  </si>
  <si>
    <t xml:space="preserve">Rood – knelpunt / niet gehaald</t>
  </si>
  <si>
    <t xml:space="preserve">Zonneweide</t>
  </si>
  <si>
    <t xml:space="preserve">Voorbeeld – netcongestie nog niet ingevuld → totaal grijs</t>
  </si>
  <si>
    <t xml:space="preserve">Grijs – nog niet ingevuld</t>
  </si>
  <si>
    <t xml:space="preserve">Kleur → code (niet wijzigen)</t>
  </si>
  <si>
    <t xml:space="preserve">Rood</t>
  </si>
  <si>
    <t xml:space="preserve">Oranje</t>
  </si>
  <si>
    <t xml:space="preserve">Groen</t>
  </si>
  <si>
    <t xml:space="preserve">Verkoop (kolom A)</t>
  </si>
  <si>
    <t xml:space="preserve">Groen vanaf (verkocht %)</t>
  </si>
  <si>
    <t xml:space="preserve">Oranje vanaf (verkocht %)</t>
  </si>
  <si>
    <t xml:space="preserve">Daaronder: rood</t>
  </si>
  <si>
    <t xml:space="preserve">Omgevingsvergunning (kolom B)</t>
  </si>
  <si>
    <t xml:space="preserve">V (verleend) = groen, leeg = rood</t>
  </si>
  <si>
    <t xml:space="preserve">Raad van State (kolom C)</t>
  </si>
  <si>
    <t xml:space="preserve">Waarde</t>
  </si>
  <si>
    <t xml:space="preserve">Kleur</t>
  </si>
  <si>
    <t xml:space="preserve">Code</t>
  </si>
  <si>
    <t xml:space="preserve">Netcongestie (kolom D)</t>
  </si>
  <si>
    <t xml:space="preserve">Laag</t>
  </si>
  <si>
    <t xml:space="preserve">Fasen (keuzelijst kolom K)</t>
  </si>
  <si>
    <t xml:space="preserve">In uitvoering</t>
  </si>
  <si>
    <t xml:space="preserve">Opgeleverd</t>
  </si>
  <si>
    <t xml:space="preserve">Tip: gele cellen mag je aanpassen; de stoplichten volgen direct.</t>
  </si>
  <si>
    <t xml:space="preserve">Hoe werkt het stoplicht?</t>
  </si>
  <si>
    <t xml:space="preserve">Per project vier signalen; het totaal is het slechtste signaal. Alleen gele cellen invullen.</t>
  </si>
  <si>
    <t xml:space="preserve">Kolom</t>
  </si>
  <si>
    <t xml:space="preserve">Stoplicht</t>
  </si>
  <si>
    <t xml:space="preserve">Regel</t>
  </si>
  <si>
    <t xml:space="preserve">A  Verkoop</t>
  </si>
  <si>
    <t xml:space="preserve">Verkocht % (kolom J) ≥ 70% → groen. Kolom F toont dan automatisch een V.</t>
  </si>
  <si>
    <t xml:space="preserve">Verkocht % tussen 50% en 70% → oranje (bijv. 58% bij start bouw).</t>
  </si>
  <si>
    <t xml:space="preserve">Verkocht % onder 50% → rood.</t>
  </si>
  <si>
    <t xml:space="preserve">B  Omgevingsvergunning</t>
  </si>
  <si>
    <t xml:space="preserve">V in kolom G (vergunning verleend) → groen.</t>
  </si>
  <si>
    <t xml:space="preserve">Geen V → rood.</t>
  </si>
  <si>
    <t xml:space="preserve">C  Raad van State</t>
  </si>
  <si>
    <t xml:space="preserve">Geen (kolom H) → groen.</t>
  </si>
  <si>
    <t xml:space="preserve">Lopend → rood. Extra waarden/kleuren voeg je toe in de tabel rechts op het blad Stoplicht.</t>
  </si>
  <si>
    <t xml:space="preserve">D  Netcongestie</t>
  </si>
  <si>
    <t xml:space="preserve">Geen (kolom I) → groen.</t>
  </si>
  <si>
    <t xml:space="preserve">Laag of Midden → oranje.</t>
  </si>
  <si>
    <t xml:space="preserve">Hoog → rood.</t>
  </si>
  <si>
    <t xml:space="preserve">L  Totaal</t>
  </si>
  <si>
    <t xml:space="preserve">Slechtste van A t/m D. Grijs (○) zolang één van de vier nog niet is ingevuld.</t>
  </si>
  <si>
    <t xml:space="preserve">Stappenplan</t>
  </si>
  <si>
    <t xml:space="preserve">1. Typ de projectnaam in kolom E. De stoplichten worden actief (grijs tot ingevuld).</t>
  </si>
  <si>
    <t xml:space="preserve">2. Vul Verkocht % (kolom J) in, bijv. 58%. Kolom A en het vinkje in F volgen automatisch.</t>
  </si>
  <si>
    <t xml:space="preserve">3. Kies V in kolom G zodra de omgevingsvergunning is verleend.</t>
  </si>
  <si>
    <t xml:space="preserve">4. Kies RvS (kolom H) en Netcongestie (kolom I) uit de keuzelijst.</t>
  </si>
  <si>
    <t xml:space="preserve">5. Kolom L toont het totaalstoplicht; de tegels rechtsboven tellen groen/oranje/rood.</t>
  </si>
  <si>
    <t xml:space="preserve">6. Grenzen (70%/50%) en kleurregels pas je aan in het gele blok rechts op het blad Stoplicht.</t>
  </si>
  <si>
    <t xml:space="preserve">7. Gebruik het filter op de kopregel om bijv. alleen rode projecten te tonen.</t>
  </si>
  <si>
    <t xml:space="preserve">Aanname: voor Raad van State is 'Geen' groen en elke andere status (Lopend) rood. Wil je bijv. 'Bezwaar' op oranje, voeg die regel toe in de RvS-tabel op het blad Stoplicht.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</si>
</sst>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&quot; groen&quot;"/>
    <numFmt numFmtId="166" formatCode="0&quot; oranje&quot;"/>
    <numFmt numFmtId="167" formatCode="0&quot; rood&quot;"/>
    <numFmt numFmtId="168" formatCode="\●;\●;\○"/>
    <numFmt numFmtId="169" formatCode="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B0B7C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43A047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6"/>
      <color rgb="FF43A047"/>
      <name val="Arial"/>
      <family val="0"/>
      <charset val="1"/>
    </font>
    <font>
      <b val="true"/>
      <sz val="16"/>
      <color rgb="FFFB8C00"/>
      <name val="Arial"/>
      <family val="0"/>
      <charset val="1"/>
    </font>
    <font>
      <b val="true"/>
      <sz val="16"/>
      <color rgb="FFE53935"/>
      <name val="Arial"/>
      <family val="0"/>
      <charset val="1"/>
    </font>
    <font>
      <b val="true"/>
      <sz val="16"/>
      <color rgb="FFB0B7C3"/>
      <name val="Arial"/>
      <family val="0"/>
      <charset val="1"/>
    </font>
    <font>
      <b val="true"/>
      <sz val="9"/>
      <color rgb="FF7F7F7F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0"/>
      <name val="Arial"/>
      <family val="2"/>
    </font>
    <font>
      <b val="true"/>
      <sz val="18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43A047"/>
        <bgColor rgb="FF7F7F7F"/>
      </patternFill>
    </fill>
    <fill>
      <patternFill patternType="solid">
        <fgColor rgb="FFFB8C00"/>
        <bgColor rgb="FFFF8080"/>
      </patternFill>
    </fill>
    <fill>
      <patternFill patternType="solid">
        <fgColor rgb="FFE53935"/>
        <bgColor rgb="FF993366"/>
      </patternFill>
    </fill>
    <fill>
      <patternFill patternType="solid">
        <fgColor rgb="FF2F5597"/>
        <bgColor rgb="FF1F4E79"/>
      </patternFill>
    </fill>
    <fill>
      <patternFill patternType="solid">
        <fgColor rgb="FF7F7F7F"/>
        <bgColor rgb="FF969696"/>
      </patternFill>
    </fill>
    <fill>
      <patternFill patternType="solid">
        <fgColor rgb="FF1F3864"/>
        <bgColor rgb="FF1F4E79"/>
      </patternFill>
    </fill>
    <fill>
      <patternFill patternType="solid">
        <fgColor rgb="FFFFF9DB"/>
        <bgColor rgb="FFFFF3E0"/>
      </patternFill>
    </fill>
    <fill>
      <patternFill patternType="solid">
        <fgColor rgb="FFF5F7FB"/>
        <bgColor rgb="FFF2F3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5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3A047"/>
          <bgColor rgb="FF000000"/>
        </patternFill>
      </fill>
    </dxf>
    <dxf>
      <fill>
        <patternFill patternType="solid">
          <fgColor rgb="FFB0B7C3"/>
          <bgColor rgb="FF000000"/>
        </patternFill>
      </fill>
    </dxf>
    <dxf>
      <fill>
        <patternFill patternType="solid">
          <fgColor rgb="FFE53935"/>
          <bgColor rgb="FF000000"/>
        </patternFill>
      </fill>
    </dxf>
    <dxf>
      <fill>
        <patternFill patternType="solid">
          <fgColor rgb="FFFB8C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2F3F5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ont>
        <name val="Arial"/>
        <charset val="1"/>
        <family val="0"/>
        <b val="1"/>
        <color rgb="FFE53935"/>
        <sz val="18"/>
      </font>
    </dxf>
    <dxf>
      <font>
        <name val="Arial"/>
        <charset val="1"/>
        <family val="0"/>
        <b val="1"/>
        <color rgb="FFFB8C00"/>
        <sz val="18"/>
      </font>
    </dxf>
    <dxf>
      <font>
        <name val="Arial"/>
        <charset val="1"/>
        <family val="0"/>
        <b val="1"/>
        <color rgb="FF43A047"/>
        <sz val="18"/>
      </font>
    </dxf>
    <dxf>
      <font>
        <name val="Arial"/>
        <charset val="1"/>
        <family val="0"/>
        <b val="1"/>
        <color rgb="FFB0B7C3"/>
        <sz val="18"/>
      </font>
    </dxf>
    <dxf>
      <font>
        <name val="Arial"/>
        <charset val="1"/>
        <family val="0"/>
        <b val="1"/>
        <color rgb="FFE53935"/>
        <sz val="18"/>
      </font>
      <fill>
        <patternFill>
          <bgColor rgb="FFFDECEA"/>
        </patternFill>
      </fill>
    </dxf>
    <dxf>
      <font>
        <name val="Arial"/>
        <charset val="1"/>
        <family val="0"/>
        <b val="1"/>
        <color rgb="FFFB8C00"/>
        <sz val="18"/>
      </font>
      <fill>
        <patternFill>
          <bgColor rgb="FFFFF3E0"/>
        </patternFill>
      </fill>
    </dxf>
    <dxf>
      <font>
        <name val="Arial"/>
        <charset val="1"/>
        <family val="0"/>
        <b val="1"/>
        <color rgb="FF43A047"/>
        <sz val="18"/>
      </font>
      <fill>
        <patternFill>
          <bgColor rgb="FFE8F5E9"/>
        </patternFill>
      </fill>
    </dxf>
    <dxf>
      <font>
        <name val="Arial"/>
        <charset val="1"/>
        <family val="0"/>
        <b val="1"/>
        <color rgb="FFB0B7C3"/>
        <sz val="18"/>
      </font>
      <fill>
        <patternFill>
          <bgColor rgb="FFF2F3F5"/>
        </patternFill>
      </fill>
    </dxf>
    <dxf>
      <font>
        <name val="Arial"/>
        <charset val="1"/>
        <family val="0"/>
        <b val="1"/>
        <color rgb="FF43A047"/>
        <sz val="12"/>
      </font>
      <fill>
        <patternFill>
          <bgColor rgb="FFE8F5E9"/>
        </patternFill>
      </fill>
    </dxf>
    <dxf>
      <font>
        <name val="Arial"/>
        <charset val="1"/>
        <family val="0"/>
        <b val="1"/>
        <color rgb="FF43A047"/>
      </font>
    </dxf>
    <dxf>
      <font>
        <name val="Arial"/>
        <charset val="1"/>
        <family val="0"/>
        <b val="1"/>
        <color rgb="FFFB8C00"/>
      </font>
    </dxf>
    <dxf>
      <font>
        <name val="Arial"/>
        <charset val="1"/>
        <family val="0"/>
        <b val="1"/>
        <color rgb="FFE53935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5"/>
      <rgbColor rgb="FF7F7F7F"/>
      <rgbColor rgb="FF9999FF"/>
      <rgbColor rgb="FF993366"/>
      <rgbColor rgb="FFFFF9DB"/>
      <rgbColor rgb="FFE8F5E9"/>
      <rgbColor rgb="FF660066"/>
      <rgbColor rgb="FFFF8080"/>
      <rgbColor rgb="FF2F559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5"/>
      <rgbColor rgb="FFF5F7FB"/>
      <rgbColor rgb="FFFFF3E0"/>
      <rgbColor rgb="FFB0B7C3"/>
      <rgbColor rgb="FFFF99CC"/>
      <rgbColor rgb="FFCC99FF"/>
      <rgbColor rgb="FFFDECEA"/>
      <rgbColor rgb="FF3366FF"/>
      <rgbColor rgb="FF33CCCC"/>
      <rgbColor rgb="FF99CC00"/>
      <rgbColor rgb="FFFFCC00"/>
      <rgbColor rgb="FFFB8C00"/>
      <rgbColor rgb="FFE53935"/>
      <rgbColor rgb="FF595959"/>
      <rgbColor rgb="FF969696"/>
      <rgbColor rgb="FF1F3864"/>
      <rgbColor rgb="FF43A047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Q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1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1"/>
    <col collapsed="false" customWidth="true" hidden="false" outlineLevel="0" max="13" min="13" style="0" width="34"/>
    <col collapsed="false" customWidth="true" hidden="false" outlineLevel="0" max="14" min="14" style="0" width="3"/>
    <col collapsed="false" customWidth="true" hidden="false" outlineLevel="0" max="15" min="15" style="0" width="26"/>
    <col collapsed="false" customWidth="true" hidden="false" outlineLevel="0" max="16" min="16" style="0" width="14"/>
    <col collapsed="false" customWidth="true" hidden="false" outlineLevel="0" max="17" min="17" style="0" width="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2" t="s">
        <v>1</v>
      </c>
      <c r="P1" s="2"/>
      <c r="Q1" s="2"/>
    </row>
    <row r="2" customFormat="false" ht="30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O2" s="4" t="n">
        <f aca="false">COUNTIF($L$6:$L$35,3)</f>
        <v>1</v>
      </c>
      <c r="P2" s="5" t="n">
        <f aca="false">COUNTIF($L$6:$L$35,2)</f>
        <v>1</v>
      </c>
      <c r="Q2" s="6" t="n">
        <f aca="false">COUNTIF($L$6:$L$35,1)</f>
        <v>1</v>
      </c>
    </row>
    <row r="3" customFormat="false" ht="6" hidden="false" customHeight="true" outlineLevel="0" collapsed="false"/>
    <row r="4" customFormat="false" ht="21.75" hidden="false" customHeight="true" outlineLevel="0" collapsed="false">
      <c r="A4" s="7" t="s">
        <v>3</v>
      </c>
      <c r="B4" s="7"/>
      <c r="C4" s="7"/>
      <c r="D4" s="7"/>
      <c r="E4" s="8" t="s">
        <v>4</v>
      </c>
      <c r="F4" s="8"/>
      <c r="G4" s="8"/>
      <c r="H4" s="8"/>
      <c r="I4" s="8"/>
      <c r="J4" s="8"/>
      <c r="K4" s="8"/>
      <c r="L4" s="9" t="s">
        <v>5</v>
      </c>
      <c r="M4" s="10" t="s">
        <v>6</v>
      </c>
      <c r="O4" s="11" t="s">
        <v>7</v>
      </c>
      <c r="P4" s="11"/>
      <c r="Q4" s="11"/>
    </row>
    <row r="5" customFormat="false" ht="42" hidden="false" customHeight="true" outlineLevel="0" collapsed="false">
      <c r="A5" s="12" t="s">
        <v>8</v>
      </c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2" t="s">
        <v>14</v>
      </c>
      <c r="H5" s="12" t="s">
        <v>10</v>
      </c>
      <c r="I5" s="12" t="s">
        <v>15</v>
      </c>
      <c r="J5" s="12" t="s">
        <v>16</v>
      </c>
      <c r="K5" s="12" t="s">
        <v>17</v>
      </c>
      <c r="L5" s="12" t="s">
        <v>18</v>
      </c>
      <c r="M5" s="12" t="s">
        <v>19</v>
      </c>
      <c r="O5" s="13" t="s">
        <v>20</v>
      </c>
    </row>
    <row r="6" customFormat="false" ht="24" hidden="false" customHeight="true" outlineLevel="0" collapsed="false">
      <c r="A6" s="14" t="n">
        <f aca="false">IF($E6="",0,IF(J6="",0,IF(J6&gt;=$P$17,3,IF(J6&gt;=$P$18,2,1))))</f>
        <v>3</v>
      </c>
      <c r="B6" s="14" t="n">
        <f aca="false">IF($E6="",0,IF(UPPER(TRIM(G6))="V",3,1))</f>
        <v>3</v>
      </c>
      <c r="C6" s="14" t="n">
        <f aca="false">IF($E6="",0,IFERROR(INDEX($Q$26:$Q$27,MATCH(H6,$O$26:$O$27,0)),0))</f>
        <v>3</v>
      </c>
      <c r="D6" s="14" t="n">
        <f aca="false">IF($E6="",0,IFERROR(INDEX($Q$31:$Q$34,MATCH(I6,$O$31:$O$34,0)),0))</f>
        <v>3</v>
      </c>
      <c r="E6" s="15" t="s">
        <v>21</v>
      </c>
      <c r="F6" s="16" t="str">
        <f aca="false">IF(J6="","",IF(J6&gt;=$P$17,"V",""))</f>
        <v>V</v>
      </c>
      <c r="G6" s="17" t="s">
        <v>22</v>
      </c>
      <c r="H6" s="18" t="s">
        <v>23</v>
      </c>
      <c r="I6" s="18" t="s">
        <v>23</v>
      </c>
      <c r="J6" s="19" t="n">
        <v>0.72</v>
      </c>
      <c r="K6" s="18" t="s">
        <v>24</v>
      </c>
      <c r="L6" s="14" t="n">
        <f aca="false">IF($E6="",0,IF(COUNTIF(A6:D6,0)&gt;0,0,MIN(A6:D6)))</f>
        <v>3</v>
      </c>
      <c r="M6" s="20" t="s">
        <v>25</v>
      </c>
      <c r="O6" s="21" t="s">
        <v>26</v>
      </c>
      <c r="P6" s="22" t="n">
        <v>3</v>
      </c>
    </row>
    <row r="7" customFormat="false" ht="24" hidden="false" customHeight="true" outlineLevel="0" collapsed="false">
      <c r="A7" s="23" t="n">
        <f aca="false">IF($E7="",0,IF(J7="",0,IF(J7&gt;=$P$17,3,IF(J7&gt;=$P$18,2,1))))</f>
        <v>2</v>
      </c>
      <c r="B7" s="23" t="n">
        <f aca="false">IF($E7="",0,IF(UPPER(TRIM(G7))="V",3,1))</f>
        <v>3</v>
      </c>
      <c r="C7" s="23" t="n">
        <f aca="false">IF($E7="",0,IFERROR(INDEX($Q$26:$Q$27,MATCH(H7,$O$26:$O$27,0)),0))</f>
        <v>3</v>
      </c>
      <c r="D7" s="23" t="n">
        <f aca="false">IF($E7="",0,IFERROR(INDEX($Q$31:$Q$34,MATCH(I7,$O$31:$O$34,0)),0))</f>
        <v>2</v>
      </c>
      <c r="E7" s="15" t="s">
        <v>27</v>
      </c>
      <c r="F7" s="24" t="str">
        <f aca="false">IF(J7="","",IF(J7&gt;=$P$17,"V",""))</f>
        <v/>
      </c>
      <c r="G7" s="17" t="s">
        <v>22</v>
      </c>
      <c r="H7" s="18" t="s">
        <v>23</v>
      </c>
      <c r="I7" s="18" t="s">
        <v>28</v>
      </c>
      <c r="J7" s="19" t="n">
        <v>0.58</v>
      </c>
      <c r="K7" s="18" t="s">
        <v>29</v>
      </c>
      <c r="L7" s="23" t="n">
        <f aca="false">IF($E7="",0,IF(COUNTIF(A7:D7,0)&gt;0,0,MIN(A7:D7)))</f>
        <v>2</v>
      </c>
      <c r="M7" s="25" t="s">
        <v>30</v>
      </c>
      <c r="O7" s="21" t="s">
        <v>31</v>
      </c>
      <c r="P7" s="26" t="n">
        <v>2</v>
      </c>
    </row>
    <row r="8" customFormat="false" ht="24" hidden="false" customHeight="true" outlineLevel="0" collapsed="false">
      <c r="A8" s="14" t="n">
        <f aca="false">IF($E8="",0,IF(J8="",0,IF(J8&gt;=$P$17,3,IF(J8&gt;=$P$18,2,1))))</f>
        <v>1</v>
      </c>
      <c r="B8" s="14" t="n">
        <f aca="false">IF($E8="",0,IF(UPPER(TRIM(G8))="V",3,1))</f>
        <v>1</v>
      </c>
      <c r="C8" s="14" t="n">
        <f aca="false">IF($E8="",0,IFERROR(INDEX($Q$26:$Q$27,MATCH(H8,$O$26:$O$27,0)),0))</f>
        <v>1</v>
      </c>
      <c r="D8" s="14" t="n">
        <f aca="false">IF($E8="",0,IFERROR(INDEX($Q$31:$Q$34,MATCH(I8,$O$31:$O$34,0)),0))</f>
        <v>1</v>
      </c>
      <c r="E8" s="15" t="s">
        <v>32</v>
      </c>
      <c r="F8" s="16" t="str">
        <f aca="false">IF(J8="","",IF(J8&gt;=$P$17,"V",""))</f>
        <v/>
      </c>
      <c r="G8" s="17"/>
      <c r="H8" s="18" t="s">
        <v>33</v>
      </c>
      <c r="I8" s="18" t="s">
        <v>34</v>
      </c>
      <c r="J8" s="19" t="n">
        <v>0.43</v>
      </c>
      <c r="K8" s="18" t="s">
        <v>35</v>
      </c>
      <c r="L8" s="14" t="n">
        <f aca="false">IF($E8="",0,IF(COUNTIF(A8:D8,0)&gt;0,0,MIN(A8:D8)))</f>
        <v>1</v>
      </c>
      <c r="M8" s="20" t="s">
        <v>36</v>
      </c>
      <c r="O8" s="21" t="s">
        <v>37</v>
      </c>
      <c r="P8" s="27" t="n">
        <v>1</v>
      </c>
    </row>
    <row r="9" customFormat="false" ht="24" hidden="false" customHeight="true" outlineLevel="0" collapsed="false">
      <c r="A9" s="23" t="n">
        <f aca="false">IF($E9="",0,IF(J9="",0,IF(J9&gt;=$P$17,3,IF(J9&gt;=$P$18,2,1))))</f>
        <v>3</v>
      </c>
      <c r="B9" s="23" t="n">
        <f aca="false">IF($E9="",0,IF(UPPER(TRIM(G9))="V",3,1))</f>
        <v>3</v>
      </c>
      <c r="C9" s="23" t="n">
        <f aca="false">IF($E9="",0,IFERROR(INDEX($Q$26:$Q$27,MATCH(H9,$O$26:$O$27,0)),0))</f>
        <v>3</v>
      </c>
      <c r="D9" s="23" t="n">
        <f aca="false">IF($E9="",0,IFERROR(INDEX($Q$31:$Q$34,MATCH(I9,$O$31:$O$34,0)),0))</f>
        <v>0</v>
      </c>
      <c r="E9" s="15" t="s">
        <v>38</v>
      </c>
      <c r="F9" s="24" t="str">
        <f aca="false">IF(J9="","",IF(J9&gt;=$P$17,"V",""))</f>
        <v>V</v>
      </c>
      <c r="G9" s="17" t="s">
        <v>22</v>
      </c>
      <c r="H9" s="18" t="s">
        <v>23</v>
      </c>
      <c r="I9" s="18"/>
      <c r="J9" s="19" t="n">
        <v>0.81</v>
      </c>
      <c r="K9" s="18" t="s">
        <v>24</v>
      </c>
      <c r="L9" s="23" t="n">
        <f aca="false">IF($E9="",0,IF(COUNTIF(A9:D9,0)&gt;0,0,MIN(A9:D9)))</f>
        <v>0</v>
      </c>
      <c r="M9" s="25" t="s">
        <v>39</v>
      </c>
      <c r="O9" s="21" t="s">
        <v>40</v>
      </c>
      <c r="P9" s="28" t="n">
        <v>0</v>
      </c>
    </row>
    <row r="10" customFormat="false" ht="24" hidden="false" customHeight="true" outlineLevel="0" collapsed="false">
      <c r="A10" s="14" t="n">
        <f aca="false">IF($E10="",0,IF(J10="",0,IF(J10&gt;=$P$17,3,IF(J10&gt;=$P$18,2,1))))</f>
        <v>0</v>
      </c>
      <c r="B10" s="14" t="n">
        <f aca="false">IF($E10="",0,IF(UPPER(TRIM(G10))="V",3,1))</f>
        <v>0</v>
      </c>
      <c r="C10" s="14" t="n">
        <f aca="false">IF($E10="",0,IFERROR(INDEX($Q$26:$Q$27,MATCH(H10,$O$26:$O$27,0)),0))</f>
        <v>0</v>
      </c>
      <c r="D10" s="14" t="n">
        <f aca="false">IF($E10="",0,IFERROR(INDEX($Q$31:$Q$34,MATCH(I10,$O$31:$O$34,0)),0))</f>
        <v>0</v>
      </c>
      <c r="E10" s="15"/>
      <c r="F10" s="16" t="str">
        <f aca="false">IF(J10="","",IF(J10&gt;=$P$17,"V",""))</f>
        <v/>
      </c>
      <c r="G10" s="17"/>
      <c r="H10" s="18"/>
      <c r="I10" s="18"/>
      <c r="J10" s="19"/>
      <c r="K10" s="18"/>
      <c r="L10" s="14" t="n">
        <f aca="false">IF($E10="",0,IF(COUNTIF(A10:D10,0)&gt;0,0,MIN(A10:D10)))</f>
        <v>0</v>
      </c>
      <c r="M10" s="20"/>
    </row>
    <row r="11" customFormat="false" ht="24" hidden="false" customHeight="true" outlineLevel="0" collapsed="false">
      <c r="A11" s="23" t="n">
        <f aca="false">IF($E11="",0,IF(J11="",0,IF(J11&gt;=$P$17,3,IF(J11&gt;=$P$18,2,1))))</f>
        <v>0</v>
      </c>
      <c r="B11" s="23" t="n">
        <f aca="false">IF($E11="",0,IF(UPPER(TRIM(G11))="V",3,1))</f>
        <v>0</v>
      </c>
      <c r="C11" s="23" t="n">
        <f aca="false">IF($E11="",0,IFERROR(INDEX($Q$26:$Q$27,MATCH(H11,$O$26:$O$27,0)),0))</f>
        <v>0</v>
      </c>
      <c r="D11" s="23" t="n">
        <f aca="false">IF($E11="",0,IFERROR(INDEX($Q$31:$Q$34,MATCH(I11,$O$31:$O$34,0)),0))</f>
        <v>0</v>
      </c>
      <c r="E11" s="15"/>
      <c r="F11" s="24" t="str">
        <f aca="false">IF(J11="","",IF(J11&gt;=$P$17,"V",""))</f>
        <v/>
      </c>
      <c r="G11" s="17"/>
      <c r="H11" s="18"/>
      <c r="I11" s="18"/>
      <c r="J11" s="19"/>
      <c r="K11" s="18"/>
      <c r="L11" s="23" t="n">
        <f aca="false">IF($E11="",0,IF(COUNTIF(A11:D11,0)&gt;0,0,MIN(A11:D11)))</f>
        <v>0</v>
      </c>
      <c r="M11" s="25"/>
      <c r="O11" s="29" t="s">
        <v>41</v>
      </c>
    </row>
    <row r="12" customFormat="false" ht="24" hidden="false" customHeight="true" outlineLevel="0" collapsed="false">
      <c r="A12" s="14" t="n">
        <f aca="false">IF($E12="",0,IF(J12="",0,IF(J12&gt;=$P$17,3,IF(J12&gt;=$P$18,2,1))))</f>
        <v>0</v>
      </c>
      <c r="B12" s="14" t="n">
        <f aca="false">IF($E12="",0,IF(UPPER(TRIM(G12))="V",3,1))</f>
        <v>0</v>
      </c>
      <c r="C12" s="14" t="n">
        <f aca="false">IF($E12="",0,IFERROR(INDEX($Q$26:$Q$27,MATCH(H12,$O$26:$O$27,0)),0))</f>
        <v>0</v>
      </c>
      <c r="D12" s="14" t="n">
        <f aca="false">IF($E12="",0,IFERROR(INDEX($Q$31:$Q$34,MATCH(I12,$O$31:$O$34,0)),0))</f>
        <v>0</v>
      </c>
      <c r="E12" s="15"/>
      <c r="F12" s="16" t="str">
        <f aca="false">IF(J12="","",IF(J12&gt;=$P$17,"V",""))</f>
        <v/>
      </c>
      <c r="G12" s="17"/>
      <c r="H12" s="18"/>
      <c r="I12" s="18"/>
      <c r="J12" s="19"/>
      <c r="K12" s="18"/>
      <c r="L12" s="14" t="n">
        <f aca="false">IF($E12="",0,IF(COUNTIF(A12:D12,0)&gt;0,0,MIN(A12:D12)))</f>
        <v>0</v>
      </c>
      <c r="M12" s="20"/>
      <c r="O12" s="30" t="s">
        <v>42</v>
      </c>
      <c r="P12" s="31" t="n">
        <v>1</v>
      </c>
    </row>
    <row r="13" customFormat="false" ht="24" hidden="false" customHeight="true" outlineLevel="0" collapsed="false">
      <c r="A13" s="23" t="n">
        <f aca="false">IF($E13="",0,IF(J13="",0,IF(J13&gt;=$P$17,3,IF(J13&gt;=$P$18,2,1))))</f>
        <v>0</v>
      </c>
      <c r="B13" s="23" t="n">
        <f aca="false">IF($E13="",0,IF(UPPER(TRIM(G13))="V",3,1))</f>
        <v>0</v>
      </c>
      <c r="C13" s="23" t="n">
        <f aca="false">IF($E13="",0,IFERROR(INDEX($Q$26:$Q$27,MATCH(H13,$O$26:$O$27,0)),0))</f>
        <v>0</v>
      </c>
      <c r="D13" s="23" t="n">
        <f aca="false">IF($E13="",0,IFERROR(INDEX($Q$31:$Q$34,MATCH(I13,$O$31:$O$34,0)),0))</f>
        <v>0</v>
      </c>
      <c r="E13" s="15"/>
      <c r="F13" s="24" t="str">
        <f aca="false">IF(J13="","",IF(J13&gt;=$P$17,"V",""))</f>
        <v/>
      </c>
      <c r="G13" s="17"/>
      <c r="H13" s="18"/>
      <c r="I13" s="18"/>
      <c r="J13" s="19"/>
      <c r="K13" s="18"/>
      <c r="L13" s="23" t="n">
        <f aca="false">IF($E13="",0,IF(COUNTIF(A13:D13,0)&gt;0,0,MIN(A13:D13)))</f>
        <v>0</v>
      </c>
      <c r="M13" s="25"/>
      <c r="O13" s="30" t="s">
        <v>43</v>
      </c>
      <c r="P13" s="31" t="n">
        <v>2</v>
      </c>
    </row>
    <row r="14" customFormat="false" ht="24" hidden="false" customHeight="true" outlineLevel="0" collapsed="false">
      <c r="A14" s="14" t="n">
        <f aca="false">IF($E14="",0,IF(J14="",0,IF(J14&gt;=$P$17,3,IF(J14&gt;=$P$18,2,1))))</f>
        <v>0</v>
      </c>
      <c r="B14" s="14" t="n">
        <f aca="false">IF($E14="",0,IF(UPPER(TRIM(G14))="V",3,1))</f>
        <v>0</v>
      </c>
      <c r="C14" s="14" t="n">
        <f aca="false">IF($E14="",0,IFERROR(INDEX($Q$26:$Q$27,MATCH(H14,$O$26:$O$27,0)),0))</f>
        <v>0</v>
      </c>
      <c r="D14" s="14" t="n">
        <f aca="false">IF($E14="",0,IFERROR(INDEX($Q$31:$Q$34,MATCH(I14,$O$31:$O$34,0)),0))</f>
        <v>0</v>
      </c>
      <c r="E14" s="15"/>
      <c r="F14" s="16" t="str">
        <f aca="false">IF(J14="","",IF(J14&gt;=$P$17,"V",""))</f>
        <v/>
      </c>
      <c r="G14" s="17"/>
      <c r="H14" s="18"/>
      <c r="I14" s="18"/>
      <c r="J14" s="19"/>
      <c r="K14" s="18"/>
      <c r="L14" s="14" t="n">
        <f aca="false">IF($E14="",0,IF(COUNTIF(A14:D14,0)&gt;0,0,MIN(A14:D14)))</f>
        <v>0</v>
      </c>
      <c r="M14" s="20"/>
      <c r="O14" s="30" t="s">
        <v>44</v>
      </c>
      <c r="P14" s="31" t="n">
        <v>3</v>
      </c>
    </row>
    <row r="15" customFormat="false" ht="24" hidden="false" customHeight="true" outlineLevel="0" collapsed="false">
      <c r="A15" s="23" t="n">
        <f aca="false">IF($E15="",0,IF(J15="",0,IF(J15&gt;=$P$17,3,IF(J15&gt;=$P$18,2,1))))</f>
        <v>0</v>
      </c>
      <c r="B15" s="23" t="n">
        <f aca="false">IF($E15="",0,IF(UPPER(TRIM(G15))="V",3,1))</f>
        <v>0</v>
      </c>
      <c r="C15" s="23" t="n">
        <f aca="false">IF($E15="",0,IFERROR(INDEX($Q$26:$Q$27,MATCH(H15,$O$26:$O$27,0)),0))</f>
        <v>0</v>
      </c>
      <c r="D15" s="23" t="n">
        <f aca="false">IF($E15="",0,IFERROR(INDEX($Q$31:$Q$34,MATCH(I15,$O$31:$O$34,0)),0))</f>
        <v>0</v>
      </c>
      <c r="E15" s="15"/>
      <c r="F15" s="24" t="str">
        <f aca="false">IF(J15="","",IF(J15&gt;=$P$17,"V",""))</f>
        <v/>
      </c>
      <c r="G15" s="17"/>
      <c r="H15" s="18"/>
      <c r="I15" s="18"/>
      <c r="J15" s="19"/>
      <c r="K15" s="18"/>
      <c r="L15" s="23" t="n">
        <f aca="false">IF($E15="",0,IF(COUNTIF(A15:D15,0)&gt;0,0,MIN(A15:D15)))</f>
        <v>0</v>
      </c>
      <c r="M15" s="25"/>
    </row>
    <row r="16" customFormat="false" ht="24" hidden="false" customHeight="true" outlineLevel="0" collapsed="false">
      <c r="A16" s="14" t="n">
        <f aca="false">IF($E16="",0,IF(J16="",0,IF(J16&gt;=$P$17,3,IF(J16&gt;=$P$18,2,1))))</f>
        <v>0</v>
      </c>
      <c r="B16" s="14" t="n">
        <f aca="false">IF($E16="",0,IF(UPPER(TRIM(G16))="V",3,1))</f>
        <v>0</v>
      </c>
      <c r="C16" s="14" t="n">
        <f aca="false">IF($E16="",0,IFERROR(INDEX($Q$26:$Q$27,MATCH(H16,$O$26:$O$27,0)),0))</f>
        <v>0</v>
      </c>
      <c r="D16" s="14" t="n">
        <f aca="false">IF($E16="",0,IFERROR(INDEX($Q$31:$Q$34,MATCH(I16,$O$31:$O$34,0)),0))</f>
        <v>0</v>
      </c>
      <c r="E16" s="15"/>
      <c r="F16" s="16" t="str">
        <f aca="false">IF(J16="","",IF(J16&gt;=$P$17,"V",""))</f>
        <v/>
      </c>
      <c r="G16" s="17"/>
      <c r="H16" s="18"/>
      <c r="I16" s="18"/>
      <c r="J16" s="19"/>
      <c r="K16" s="18"/>
      <c r="L16" s="14" t="n">
        <f aca="false">IF($E16="",0,IF(COUNTIF(A16:D16,0)&gt;0,0,MIN(A16:D16)))</f>
        <v>0</v>
      </c>
      <c r="M16" s="20"/>
      <c r="O16" s="13" t="s">
        <v>45</v>
      </c>
    </row>
    <row r="17" customFormat="false" ht="24" hidden="false" customHeight="true" outlineLevel="0" collapsed="false">
      <c r="A17" s="23" t="n">
        <f aca="false">IF($E17="",0,IF(J17="",0,IF(J17&gt;=$P$17,3,IF(J17&gt;=$P$18,2,1))))</f>
        <v>0</v>
      </c>
      <c r="B17" s="23" t="n">
        <f aca="false">IF($E17="",0,IF(UPPER(TRIM(G17))="V",3,1))</f>
        <v>0</v>
      </c>
      <c r="C17" s="23" t="n">
        <f aca="false">IF($E17="",0,IFERROR(INDEX($Q$26:$Q$27,MATCH(H17,$O$26:$O$27,0)),0))</f>
        <v>0</v>
      </c>
      <c r="D17" s="23" t="n">
        <f aca="false">IF($E17="",0,IFERROR(INDEX($Q$31:$Q$34,MATCH(I17,$O$31:$O$34,0)),0))</f>
        <v>0</v>
      </c>
      <c r="E17" s="15"/>
      <c r="F17" s="24" t="str">
        <f aca="false">IF(J17="","",IF(J17&gt;=$P$17,"V",""))</f>
        <v/>
      </c>
      <c r="G17" s="17"/>
      <c r="H17" s="18"/>
      <c r="I17" s="18"/>
      <c r="J17" s="19"/>
      <c r="K17" s="18"/>
      <c r="L17" s="23" t="n">
        <f aca="false">IF($E17="",0,IF(COUNTIF(A17:D17,0)&gt;0,0,MIN(A17:D17)))</f>
        <v>0</v>
      </c>
      <c r="M17" s="25"/>
      <c r="O17" s="32" t="s">
        <v>46</v>
      </c>
      <c r="P17" s="33" t="n">
        <v>0.7</v>
      </c>
    </row>
    <row r="18" customFormat="false" ht="24" hidden="false" customHeight="true" outlineLevel="0" collapsed="false">
      <c r="A18" s="14" t="n">
        <f aca="false">IF($E18="",0,IF(J18="",0,IF(J18&gt;=$P$17,3,IF(J18&gt;=$P$18,2,1))))</f>
        <v>0</v>
      </c>
      <c r="B18" s="14" t="n">
        <f aca="false">IF($E18="",0,IF(UPPER(TRIM(G18))="V",3,1))</f>
        <v>0</v>
      </c>
      <c r="C18" s="14" t="n">
        <f aca="false">IF($E18="",0,IFERROR(INDEX($Q$26:$Q$27,MATCH(H18,$O$26:$O$27,0)),0))</f>
        <v>0</v>
      </c>
      <c r="D18" s="14" t="n">
        <f aca="false">IF($E18="",0,IFERROR(INDEX($Q$31:$Q$34,MATCH(I18,$O$31:$O$34,0)),0))</f>
        <v>0</v>
      </c>
      <c r="E18" s="15"/>
      <c r="F18" s="16" t="str">
        <f aca="false">IF(J18="","",IF(J18&gt;=$P$17,"V",""))</f>
        <v/>
      </c>
      <c r="G18" s="17"/>
      <c r="H18" s="18"/>
      <c r="I18" s="18"/>
      <c r="J18" s="19"/>
      <c r="K18" s="18"/>
      <c r="L18" s="14" t="n">
        <f aca="false">IF($E18="",0,IF(COUNTIF(A18:D18,0)&gt;0,0,MIN(A18:D18)))</f>
        <v>0</v>
      </c>
      <c r="M18" s="20"/>
      <c r="O18" s="32" t="s">
        <v>47</v>
      </c>
      <c r="P18" s="33" t="n">
        <v>0.5</v>
      </c>
    </row>
    <row r="19" customFormat="false" ht="24" hidden="false" customHeight="true" outlineLevel="0" collapsed="false">
      <c r="A19" s="23" t="n">
        <f aca="false">IF($E19="",0,IF(J19="",0,IF(J19&gt;=$P$17,3,IF(J19&gt;=$P$18,2,1))))</f>
        <v>0</v>
      </c>
      <c r="B19" s="23" t="n">
        <f aca="false">IF($E19="",0,IF(UPPER(TRIM(G19))="V",3,1))</f>
        <v>0</v>
      </c>
      <c r="C19" s="23" t="n">
        <f aca="false">IF($E19="",0,IFERROR(INDEX($Q$26:$Q$27,MATCH(H19,$O$26:$O$27,0)),0))</f>
        <v>0</v>
      </c>
      <c r="D19" s="23" t="n">
        <f aca="false">IF($E19="",0,IFERROR(INDEX($Q$31:$Q$34,MATCH(I19,$O$31:$O$34,0)),0))</f>
        <v>0</v>
      </c>
      <c r="E19" s="15"/>
      <c r="F19" s="24" t="str">
        <f aca="false">IF(J19="","",IF(J19&gt;=$P$17,"V",""))</f>
        <v/>
      </c>
      <c r="G19" s="17"/>
      <c r="H19" s="18"/>
      <c r="I19" s="18"/>
      <c r="J19" s="19"/>
      <c r="K19" s="18"/>
      <c r="L19" s="23" t="n">
        <f aca="false">IF($E19="",0,IF(COUNTIF(A19:D19,0)&gt;0,0,MIN(A19:D19)))</f>
        <v>0</v>
      </c>
      <c r="M19" s="25"/>
      <c r="O19" s="34" t="s">
        <v>48</v>
      </c>
    </row>
    <row r="20" customFormat="false" ht="24" hidden="false" customHeight="true" outlineLevel="0" collapsed="false">
      <c r="A20" s="14" t="n">
        <f aca="false">IF($E20="",0,IF(J20="",0,IF(J20&gt;=$P$17,3,IF(J20&gt;=$P$18,2,1))))</f>
        <v>0</v>
      </c>
      <c r="B20" s="14" t="n">
        <f aca="false">IF($E20="",0,IF(UPPER(TRIM(G20))="V",3,1))</f>
        <v>0</v>
      </c>
      <c r="C20" s="14" t="n">
        <f aca="false">IF($E20="",0,IFERROR(INDEX($Q$26:$Q$27,MATCH(H20,$O$26:$O$27,0)),0))</f>
        <v>0</v>
      </c>
      <c r="D20" s="14" t="n">
        <f aca="false">IF($E20="",0,IFERROR(INDEX($Q$31:$Q$34,MATCH(I20,$O$31:$O$34,0)),0))</f>
        <v>0</v>
      </c>
      <c r="E20" s="15"/>
      <c r="F20" s="16" t="str">
        <f aca="false">IF(J20="","",IF(J20&gt;=$P$17,"V",""))</f>
        <v/>
      </c>
      <c r="G20" s="17"/>
      <c r="H20" s="18"/>
      <c r="I20" s="18"/>
      <c r="J20" s="19"/>
      <c r="K20" s="18"/>
      <c r="L20" s="14" t="n">
        <f aca="false">IF($E20="",0,IF(COUNTIF(A20:D20,0)&gt;0,0,MIN(A20:D20)))</f>
        <v>0</v>
      </c>
      <c r="M20" s="20"/>
    </row>
    <row r="21" customFormat="false" ht="24" hidden="false" customHeight="true" outlineLevel="0" collapsed="false">
      <c r="A21" s="23" t="n">
        <f aca="false">IF($E21="",0,IF(J21="",0,IF(J21&gt;=$P$17,3,IF(J21&gt;=$P$18,2,1))))</f>
        <v>0</v>
      </c>
      <c r="B21" s="23" t="n">
        <f aca="false">IF($E21="",0,IF(UPPER(TRIM(G21))="V",3,1))</f>
        <v>0</v>
      </c>
      <c r="C21" s="23" t="n">
        <f aca="false">IF($E21="",0,IFERROR(INDEX($Q$26:$Q$27,MATCH(H21,$O$26:$O$27,0)),0))</f>
        <v>0</v>
      </c>
      <c r="D21" s="23" t="n">
        <f aca="false">IF($E21="",0,IFERROR(INDEX($Q$31:$Q$34,MATCH(I21,$O$31:$O$34,0)),0))</f>
        <v>0</v>
      </c>
      <c r="E21" s="15"/>
      <c r="F21" s="24" t="str">
        <f aca="false">IF(J21="","",IF(J21&gt;=$P$17,"V",""))</f>
        <v/>
      </c>
      <c r="G21" s="17"/>
      <c r="H21" s="18"/>
      <c r="I21" s="18"/>
      <c r="J21" s="19"/>
      <c r="K21" s="18"/>
      <c r="L21" s="23" t="n">
        <f aca="false">IF($E21="",0,IF(COUNTIF(A21:D21,0)&gt;0,0,MIN(A21:D21)))</f>
        <v>0</v>
      </c>
      <c r="M21" s="25"/>
      <c r="O21" s="13" t="s">
        <v>49</v>
      </c>
    </row>
    <row r="22" customFormat="false" ht="24" hidden="false" customHeight="true" outlineLevel="0" collapsed="false">
      <c r="A22" s="14" t="n">
        <f aca="false">IF($E22="",0,IF(J22="",0,IF(J22&gt;=$P$17,3,IF(J22&gt;=$P$18,2,1))))</f>
        <v>0</v>
      </c>
      <c r="B22" s="14" t="n">
        <f aca="false">IF($E22="",0,IF(UPPER(TRIM(G22))="V",3,1))</f>
        <v>0</v>
      </c>
      <c r="C22" s="14" t="n">
        <f aca="false">IF($E22="",0,IFERROR(INDEX($Q$26:$Q$27,MATCH(H22,$O$26:$O$27,0)),0))</f>
        <v>0</v>
      </c>
      <c r="D22" s="14" t="n">
        <f aca="false">IF($E22="",0,IFERROR(INDEX($Q$31:$Q$34,MATCH(I22,$O$31:$O$34,0)),0))</f>
        <v>0</v>
      </c>
      <c r="E22" s="15"/>
      <c r="F22" s="16" t="str">
        <f aca="false">IF(J22="","",IF(J22&gt;=$P$17,"V",""))</f>
        <v/>
      </c>
      <c r="G22" s="17"/>
      <c r="H22" s="18"/>
      <c r="I22" s="18"/>
      <c r="J22" s="19"/>
      <c r="K22" s="18"/>
      <c r="L22" s="14" t="n">
        <f aca="false">IF($E22="",0,IF(COUNTIF(A22:D22,0)&gt;0,0,MIN(A22:D22)))</f>
        <v>0</v>
      </c>
      <c r="M22" s="20"/>
      <c r="O22" s="34" t="s">
        <v>50</v>
      </c>
    </row>
    <row r="23" customFormat="false" ht="24" hidden="false" customHeight="true" outlineLevel="0" collapsed="false">
      <c r="A23" s="23" t="n">
        <f aca="false">IF($E23="",0,IF(J23="",0,IF(J23&gt;=$P$17,3,IF(J23&gt;=$P$18,2,1))))</f>
        <v>0</v>
      </c>
      <c r="B23" s="23" t="n">
        <f aca="false">IF($E23="",0,IF(UPPER(TRIM(G23))="V",3,1))</f>
        <v>0</v>
      </c>
      <c r="C23" s="23" t="n">
        <f aca="false">IF($E23="",0,IFERROR(INDEX($Q$26:$Q$27,MATCH(H23,$O$26:$O$27,0)),0))</f>
        <v>0</v>
      </c>
      <c r="D23" s="23" t="n">
        <f aca="false">IF($E23="",0,IFERROR(INDEX($Q$31:$Q$34,MATCH(I23,$O$31:$O$34,0)),0))</f>
        <v>0</v>
      </c>
      <c r="E23" s="15"/>
      <c r="F23" s="24" t="str">
        <f aca="false">IF(J23="","",IF(J23&gt;=$P$17,"V",""))</f>
        <v/>
      </c>
      <c r="G23" s="17"/>
      <c r="H23" s="18"/>
      <c r="I23" s="18"/>
      <c r="J23" s="19"/>
      <c r="K23" s="18"/>
      <c r="L23" s="23" t="n">
        <f aca="false">IF($E23="",0,IF(COUNTIF(A23:D23,0)&gt;0,0,MIN(A23:D23)))</f>
        <v>0</v>
      </c>
      <c r="M23" s="25"/>
    </row>
    <row r="24" customFormat="false" ht="24" hidden="false" customHeight="true" outlineLevel="0" collapsed="false">
      <c r="A24" s="14" t="n">
        <f aca="false">IF($E24="",0,IF(J24="",0,IF(J24&gt;=$P$17,3,IF(J24&gt;=$P$18,2,1))))</f>
        <v>0</v>
      </c>
      <c r="B24" s="14" t="n">
        <f aca="false">IF($E24="",0,IF(UPPER(TRIM(G24))="V",3,1))</f>
        <v>0</v>
      </c>
      <c r="C24" s="14" t="n">
        <f aca="false">IF($E24="",0,IFERROR(INDEX($Q$26:$Q$27,MATCH(H24,$O$26:$O$27,0)),0))</f>
        <v>0</v>
      </c>
      <c r="D24" s="14" t="n">
        <f aca="false">IF($E24="",0,IFERROR(INDEX($Q$31:$Q$34,MATCH(I24,$O$31:$O$34,0)),0))</f>
        <v>0</v>
      </c>
      <c r="E24" s="15"/>
      <c r="F24" s="16" t="str">
        <f aca="false">IF(J24="","",IF(J24&gt;=$P$17,"V",""))</f>
        <v/>
      </c>
      <c r="G24" s="17"/>
      <c r="H24" s="18"/>
      <c r="I24" s="18"/>
      <c r="J24" s="19"/>
      <c r="K24" s="18"/>
      <c r="L24" s="14" t="n">
        <f aca="false">IF($E24="",0,IF(COUNTIF(A24:D24,0)&gt;0,0,MIN(A24:D24)))</f>
        <v>0</v>
      </c>
      <c r="M24" s="20"/>
      <c r="O24" s="13" t="s">
        <v>51</v>
      </c>
    </row>
    <row r="25" customFormat="false" ht="24" hidden="false" customHeight="true" outlineLevel="0" collapsed="false">
      <c r="A25" s="23" t="n">
        <f aca="false">IF($E25="",0,IF(J25="",0,IF(J25&gt;=$P$17,3,IF(J25&gt;=$P$18,2,1))))</f>
        <v>0</v>
      </c>
      <c r="B25" s="23" t="n">
        <f aca="false">IF($E25="",0,IF(UPPER(TRIM(G25))="V",3,1))</f>
        <v>0</v>
      </c>
      <c r="C25" s="23" t="n">
        <f aca="false">IF($E25="",0,IFERROR(INDEX($Q$26:$Q$27,MATCH(H25,$O$26:$O$27,0)),0))</f>
        <v>0</v>
      </c>
      <c r="D25" s="23" t="n">
        <f aca="false">IF($E25="",0,IFERROR(INDEX($Q$31:$Q$34,MATCH(I25,$O$31:$O$34,0)),0))</f>
        <v>0</v>
      </c>
      <c r="E25" s="15"/>
      <c r="F25" s="24" t="str">
        <f aca="false">IF(J25="","",IF(J25&gt;=$P$17,"V",""))</f>
        <v/>
      </c>
      <c r="G25" s="17"/>
      <c r="H25" s="18"/>
      <c r="I25" s="18"/>
      <c r="J25" s="19"/>
      <c r="K25" s="18"/>
      <c r="L25" s="23" t="n">
        <f aca="false">IF($E25="",0,IF(COUNTIF(A25:D25,0)&gt;0,0,MIN(A25:D25)))</f>
        <v>0</v>
      </c>
      <c r="M25" s="25"/>
      <c r="O25" s="35" t="s">
        <v>52</v>
      </c>
      <c r="P25" s="35" t="s">
        <v>53</v>
      </c>
      <c r="Q25" s="35" t="s">
        <v>54</v>
      </c>
    </row>
    <row r="26" customFormat="false" ht="24" hidden="false" customHeight="true" outlineLevel="0" collapsed="false">
      <c r="A26" s="14" t="n">
        <f aca="false">IF($E26="",0,IF(J26="",0,IF(J26&gt;=$P$17,3,IF(J26&gt;=$P$18,2,1))))</f>
        <v>0</v>
      </c>
      <c r="B26" s="14" t="n">
        <f aca="false">IF($E26="",0,IF(UPPER(TRIM(G26))="V",3,1))</f>
        <v>0</v>
      </c>
      <c r="C26" s="14" t="n">
        <f aca="false">IF($E26="",0,IFERROR(INDEX($Q$26:$Q$27,MATCH(H26,$O$26:$O$27,0)),0))</f>
        <v>0</v>
      </c>
      <c r="D26" s="14" t="n">
        <f aca="false">IF($E26="",0,IFERROR(INDEX($Q$31:$Q$34,MATCH(I26,$O$31:$O$34,0)),0))</f>
        <v>0</v>
      </c>
      <c r="E26" s="15"/>
      <c r="F26" s="16" t="str">
        <f aca="false">IF(J26="","",IF(J26&gt;=$P$17,"V",""))</f>
        <v/>
      </c>
      <c r="G26" s="17"/>
      <c r="H26" s="18"/>
      <c r="I26" s="18"/>
      <c r="J26" s="19"/>
      <c r="K26" s="18"/>
      <c r="L26" s="14" t="n">
        <f aca="false">IF($E26="",0,IF(COUNTIF(A26:D26,0)&gt;0,0,MIN(A26:D26)))</f>
        <v>0</v>
      </c>
      <c r="M26" s="20"/>
      <c r="O26" s="36" t="s">
        <v>23</v>
      </c>
      <c r="P26" s="37" t="s">
        <v>44</v>
      </c>
      <c r="Q26" s="31" t="n">
        <f aca="false">IFERROR(MATCH(P26,$O$12:$O$14,0),0)</f>
        <v>3</v>
      </c>
    </row>
    <row r="27" customFormat="false" ht="24" hidden="false" customHeight="true" outlineLevel="0" collapsed="false">
      <c r="A27" s="23" t="n">
        <f aca="false">IF($E27="",0,IF(J27="",0,IF(J27&gt;=$P$17,3,IF(J27&gt;=$P$18,2,1))))</f>
        <v>0</v>
      </c>
      <c r="B27" s="23" t="n">
        <f aca="false">IF($E27="",0,IF(UPPER(TRIM(G27))="V",3,1))</f>
        <v>0</v>
      </c>
      <c r="C27" s="23" t="n">
        <f aca="false">IF($E27="",0,IFERROR(INDEX($Q$26:$Q$27,MATCH(H27,$O$26:$O$27,0)),0))</f>
        <v>0</v>
      </c>
      <c r="D27" s="23" t="n">
        <f aca="false">IF($E27="",0,IFERROR(INDEX($Q$31:$Q$34,MATCH(I27,$O$31:$O$34,0)),0))</f>
        <v>0</v>
      </c>
      <c r="E27" s="15"/>
      <c r="F27" s="24" t="str">
        <f aca="false">IF(J27="","",IF(J27&gt;=$P$17,"V",""))</f>
        <v/>
      </c>
      <c r="G27" s="17"/>
      <c r="H27" s="18"/>
      <c r="I27" s="18"/>
      <c r="J27" s="19"/>
      <c r="K27" s="18"/>
      <c r="L27" s="23" t="n">
        <f aca="false">IF($E27="",0,IF(COUNTIF(A27:D27,0)&gt;0,0,MIN(A27:D27)))</f>
        <v>0</v>
      </c>
      <c r="M27" s="25"/>
      <c r="O27" s="36" t="s">
        <v>33</v>
      </c>
      <c r="P27" s="37" t="s">
        <v>42</v>
      </c>
      <c r="Q27" s="31" t="n">
        <f aca="false">IFERROR(MATCH(P27,$O$12:$O$14,0),0)</f>
        <v>1</v>
      </c>
    </row>
    <row r="28" customFormat="false" ht="24" hidden="false" customHeight="true" outlineLevel="0" collapsed="false">
      <c r="A28" s="14" t="n">
        <f aca="false">IF($E28="",0,IF(J28="",0,IF(J28&gt;=$P$17,3,IF(J28&gt;=$P$18,2,1))))</f>
        <v>0</v>
      </c>
      <c r="B28" s="14" t="n">
        <f aca="false">IF($E28="",0,IF(UPPER(TRIM(G28))="V",3,1))</f>
        <v>0</v>
      </c>
      <c r="C28" s="14" t="n">
        <f aca="false">IF($E28="",0,IFERROR(INDEX($Q$26:$Q$27,MATCH(H28,$O$26:$O$27,0)),0))</f>
        <v>0</v>
      </c>
      <c r="D28" s="14" t="n">
        <f aca="false">IF($E28="",0,IFERROR(INDEX($Q$31:$Q$34,MATCH(I28,$O$31:$O$34,0)),0))</f>
        <v>0</v>
      </c>
      <c r="E28" s="15"/>
      <c r="F28" s="16" t="str">
        <f aca="false">IF(J28="","",IF(J28&gt;=$P$17,"V",""))</f>
        <v/>
      </c>
      <c r="G28" s="17"/>
      <c r="H28" s="18"/>
      <c r="I28" s="18"/>
      <c r="J28" s="19"/>
      <c r="K28" s="18"/>
      <c r="L28" s="14" t="n">
        <f aca="false">IF($E28="",0,IF(COUNTIF(A28:D28,0)&gt;0,0,MIN(A28:D28)))</f>
        <v>0</v>
      </c>
      <c r="M28" s="20"/>
    </row>
    <row r="29" customFormat="false" ht="24" hidden="false" customHeight="true" outlineLevel="0" collapsed="false">
      <c r="A29" s="23" t="n">
        <f aca="false">IF($E29="",0,IF(J29="",0,IF(J29&gt;=$P$17,3,IF(J29&gt;=$P$18,2,1))))</f>
        <v>0</v>
      </c>
      <c r="B29" s="23" t="n">
        <f aca="false">IF($E29="",0,IF(UPPER(TRIM(G29))="V",3,1))</f>
        <v>0</v>
      </c>
      <c r="C29" s="23" t="n">
        <f aca="false">IF($E29="",0,IFERROR(INDEX($Q$26:$Q$27,MATCH(H29,$O$26:$O$27,0)),0))</f>
        <v>0</v>
      </c>
      <c r="D29" s="23" t="n">
        <f aca="false">IF($E29="",0,IFERROR(INDEX($Q$31:$Q$34,MATCH(I29,$O$31:$O$34,0)),0))</f>
        <v>0</v>
      </c>
      <c r="E29" s="15"/>
      <c r="F29" s="24" t="str">
        <f aca="false">IF(J29="","",IF(J29&gt;=$P$17,"V",""))</f>
        <v/>
      </c>
      <c r="G29" s="17"/>
      <c r="H29" s="18"/>
      <c r="I29" s="18"/>
      <c r="J29" s="19"/>
      <c r="K29" s="18"/>
      <c r="L29" s="23" t="n">
        <f aca="false">IF($E29="",0,IF(COUNTIF(A29:D29,0)&gt;0,0,MIN(A29:D29)))</f>
        <v>0</v>
      </c>
      <c r="M29" s="25"/>
      <c r="O29" s="13" t="s">
        <v>55</v>
      </c>
    </row>
    <row r="30" customFormat="false" ht="24" hidden="false" customHeight="true" outlineLevel="0" collapsed="false">
      <c r="A30" s="14" t="n">
        <f aca="false">IF($E30="",0,IF(J30="",0,IF(J30&gt;=$P$17,3,IF(J30&gt;=$P$18,2,1))))</f>
        <v>0</v>
      </c>
      <c r="B30" s="14" t="n">
        <f aca="false">IF($E30="",0,IF(UPPER(TRIM(G30))="V",3,1))</f>
        <v>0</v>
      </c>
      <c r="C30" s="14" t="n">
        <f aca="false">IF($E30="",0,IFERROR(INDEX($Q$26:$Q$27,MATCH(H30,$O$26:$O$27,0)),0))</f>
        <v>0</v>
      </c>
      <c r="D30" s="14" t="n">
        <f aca="false">IF($E30="",0,IFERROR(INDEX($Q$31:$Q$34,MATCH(I30,$O$31:$O$34,0)),0))</f>
        <v>0</v>
      </c>
      <c r="E30" s="15"/>
      <c r="F30" s="16" t="str">
        <f aca="false">IF(J30="","",IF(J30&gt;=$P$17,"V",""))</f>
        <v/>
      </c>
      <c r="G30" s="17"/>
      <c r="H30" s="18"/>
      <c r="I30" s="18"/>
      <c r="J30" s="19"/>
      <c r="K30" s="18"/>
      <c r="L30" s="14" t="n">
        <f aca="false">IF($E30="",0,IF(COUNTIF(A30:D30,0)&gt;0,0,MIN(A30:D30)))</f>
        <v>0</v>
      </c>
      <c r="M30" s="20"/>
      <c r="O30" s="35" t="s">
        <v>52</v>
      </c>
      <c r="P30" s="35" t="s">
        <v>53</v>
      </c>
      <c r="Q30" s="35" t="s">
        <v>54</v>
      </c>
    </row>
    <row r="31" customFormat="false" ht="24" hidden="false" customHeight="true" outlineLevel="0" collapsed="false">
      <c r="A31" s="23" t="n">
        <f aca="false">IF($E31="",0,IF(J31="",0,IF(J31&gt;=$P$17,3,IF(J31&gt;=$P$18,2,1))))</f>
        <v>0</v>
      </c>
      <c r="B31" s="23" t="n">
        <f aca="false">IF($E31="",0,IF(UPPER(TRIM(G31))="V",3,1))</f>
        <v>0</v>
      </c>
      <c r="C31" s="23" t="n">
        <f aca="false">IF($E31="",0,IFERROR(INDEX($Q$26:$Q$27,MATCH(H31,$O$26:$O$27,0)),0))</f>
        <v>0</v>
      </c>
      <c r="D31" s="23" t="n">
        <f aca="false">IF($E31="",0,IFERROR(INDEX($Q$31:$Q$34,MATCH(I31,$O$31:$O$34,0)),0))</f>
        <v>0</v>
      </c>
      <c r="E31" s="15"/>
      <c r="F31" s="24" t="str">
        <f aca="false">IF(J31="","",IF(J31&gt;=$P$17,"V",""))</f>
        <v/>
      </c>
      <c r="G31" s="17"/>
      <c r="H31" s="18"/>
      <c r="I31" s="18"/>
      <c r="J31" s="19"/>
      <c r="K31" s="18"/>
      <c r="L31" s="23" t="n">
        <f aca="false">IF($E31="",0,IF(COUNTIF(A31:D31,0)&gt;0,0,MIN(A31:D31)))</f>
        <v>0</v>
      </c>
      <c r="M31" s="25"/>
      <c r="O31" s="36" t="s">
        <v>23</v>
      </c>
      <c r="P31" s="37" t="s">
        <v>44</v>
      </c>
      <c r="Q31" s="31" t="n">
        <f aca="false">IFERROR(MATCH(P31,$O$12:$O$14,0),0)</f>
        <v>3</v>
      </c>
    </row>
    <row r="32" customFormat="false" ht="24" hidden="false" customHeight="true" outlineLevel="0" collapsed="false">
      <c r="A32" s="14" t="n">
        <f aca="false">IF($E32="",0,IF(J32="",0,IF(J32&gt;=$P$17,3,IF(J32&gt;=$P$18,2,1))))</f>
        <v>0</v>
      </c>
      <c r="B32" s="14" t="n">
        <f aca="false">IF($E32="",0,IF(UPPER(TRIM(G32))="V",3,1))</f>
        <v>0</v>
      </c>
      <c r="C32" s="14" t="n">
        <f aca="false">IF($E32="",0,IFERROR(INDEX($Q$26:$Q$27,MATCH(H32,$O$26:$O$27,0)),0))</f>
        <v>0</v>
      </c>
      <c r="D32" s="14" t="n">
        <f aca="false">IF($E32="",0,IFERROR(INDEX($Q$31:$Q$34,MATCH(I32,$O$31:$O$34,0)),0))</f>
        <v>0</v>
      </c>
      <c r="E32" s="15"/>
      <c r="F32" s="16" t="str">
        <f aca="false">IF(J32="","",IF(J32&gt;=$P$17,"V",""))</f>
        <v/>
      </c>
      <c r="G32" s="17"/>
      <c r="H32" s="18"/>
      <c r="I32" s="18"/>
      <c r="J32" s="19"/>
      <c r="K32" s="18"/>
      <c r="L32" s="14" t="n">
        <f aca="false">IF($E32="",0,IF(COUNTIF(A32:D32,0)&gt;0,0,MIN(A32:D32)))</f>
        <v>0</v>
      </c>
      <c r="M32" s="20"/>
      <c r="O32" s="36" t="s">
        <v>56</v>
      </c>
      <c r="P32" s="37" t="s">
        <v>43</v>
      </c>
      <c r="Q32" s="31" t="n">
        <f aca="false">IFERROR(MATCH(P32,$O$12:$O$14,0),0)</f>
        <v>2</v>
      </c>
    </row>
    <row r="33" customFormat="false" ht="24" hidden="false" customHeight="true" outlineLevel="0" collapsed="false">
      <c r="A33" s="23" t="n">
        <f aca="false">IF($E33="",0,IF(J33="",0,IF(J33&gt;=$P$17,3,IF(J33&gt;=$P$18,2,1))))</f>
        <v>0</v>
      </c>
      <c r="B33" s="23" t="n">
        <f aca="false">IF($E33="",0,IF(UPPER(TRIM(G33))="V",3,1))</f>
        <v>0</v>
      </c>
      <c r="C33" s="23" t="n">
        <f aca="false">IF($E33="",0,IFERROR(INDEX($Q$26:$Q$27,MATCH(H33,$O$26:$O$27,0)),0))</f>
        <v>0</v>
      </c>
      <c r="D33" s="23" t="n">
        <f aca="false">IF($E33="",0,IFERROR(INDEX($Q$31:$Q$34,MATCH(I33,$O$31:$O$34,0)),0))</f>
        <v>0</v>
      </c>
      <c r="E33" s="15"/>
      <c r="F33" s="24" t="str">
        <f aca="false">IF(J33="","",IF(J33&gt;=$P$17,"V",""))</f>
        <v/>
      </c>
      <c r="G33" s="17"/>
      <c r="H33" s="18"/>
      <c r="I33" s="18"/>
      <c r="J33" s="19"/>
      <c r="K33" s="18"/>
      <c r="L33" s="23" t="n">
        <f aca="false">IF($E33="",0,IF(COUNTIF(A33:D33,0)&gt;0,0,MIN(A33:D33)))</f>
        <v>0</v>
      </c>
      <c r="M33" s="25"/>
      <c r="O33" s="36" t="s">
        <v>28</v>
      </c>
      <c r="P33" s="37" t="s">
        <v>43</v>
      </c>
      <c r="Q33" s="31" t="n">
        <f aca="false">IFERROR(MATCH(P33,$O$12:$O$14,0),0)</f>
        <v>2</v>
      </c>
    </row>
    <row r="34" customFormat="false" ht="24" hidden="false" customHeight="true" outlineLevel="0" collapsed="false">
      <c r="A34" s="14" t="n">
        <f aca="false">IF($E34="",0,IF(J34="",0,IF(J34&gt;=$P$17,3,IF(J34&gt;=$P$18,2,1))))</f>
        <v>0</v>
      </c>
      <c r="B34" s="14" t="n">
        <f aca="false">IF($E34="",0,IF(UPPER(TRIM(G34))="V",3,1))</f>
        <v>0</v>
      </c>
      <c r="C34" s="14" t="n">
        <f aca="false">IF($E34="",0,IFERROR(INDEX($Q$26:$Q$27,MATCH(H34,$O$26:$O$27,0)),0))</f>
        <v>0</v>
      </c>
      <c r="D34" s="14" t="n">
        <f aca="false">IF($E34="",0,IFERROR(INDEX($Q$31:$Q$34,MATCH(I34,$O$31:$O$34,0)),0))</f>
        <v>0</v>
      </c>
      <c r="E34" s="15"/>
      <c r="F34" s="16" t="str">
        <f aca="false">IF(J34="","",IF(J34&gt;=$P$17,"V",""))</f>
        <v/>
      </c>
      <c r="G34" s="17"/>
      <c r="H34" s="18"/>
      <c r="I34" s="18"/>
      <c r="J34" s="19"/>
      <c r="K34" s="18"/>
      <c r="L34" s="14" t="n">
        <f aca="false">IF($E34="",0,IF(COUNTIF(A34:D34,0)&gt;0,0,MIN(A34:D34)))</f>
        <v>0</v>
      </c>
      <c r="M34" s="20"/>
      <c r="O34" s="36" t="s">
        <v>34</v>
      </c>
      <c r="P34" s="37" t="s">
        <v>42</v>
      </c>
      <c r="Q34" s="31" t="n">
        <f aca="false">IFERROR(MATCH(P34,$O$12:$O$14,0),0)</f>
        <v>1</v>
      </c>
    </row>
    <row r="35" customFormat="false" ht="24" hidden="false" customHeight="true" outlineLevel="0" collapsed="false">
      <c r="A35" s="23" t="n">
        <f aca="false">IF($E35="",0,IF(J35="",0,IF(J35&gt;=$P$17,3,IF(J35&gt;=$P$18,2,1))))</f>
        <v>0</v>
      </c>
      <c r="B35" s="23" t="n">
        <f aca="false">IF($E35="",0,IF(UPPER(TRIM(G35))="V",3,1))</f>
        <v>0</v>
      </c>
      <c r="C35" s="23" t="n">
        <f aca="false">IF($E35="",0,IFERROR(INDEX($Q$26:$Q$27,MATCH(H35,$O$26:$O$27,0)),0))</f>
        <v>0</v>
      </c>
      <c r="D35" s="23" t="n">
        <f aca="false">IF($E35="",0,IFERROR(INDEX($Q$31:$Q$34,MATCH(I35,$O$31:$O$34,0)),0))</f>
        <v>0</v>
      </c>
      <c r="E35" s="15"/>
      <c r="F35" s="24" t="str">
        <f aca="false">IF(J35="","",IF(J35&gt;=$P$17,"V",""))</f>
        <v/>
      </c>
      <c r="G35" s="17"/>
      <c r="H35" s="18"/>
      <c r="I35" s="18"/>
      <c r="J35" s="19"/>
      <c r="K35" s="18"/>
      <c r="L35" s="23" t="n">
        <f aca="false">IF($E35="",0,IF(COUNTIF(A35:D35,0)&gt;0,0,MIN(A35:D35)))</f>
        <v>0</v>
      </c>
      <c r="M35" s="25"/>
    </row>
    <row r="36" customFormat="false" ht="15" hidden="false" customHeight="false" outlineLevel="0" collapsed="false">
      <c r="O36" s="13" t="s">
        <v>57</v>
      </c>
    </row>
    <row r="37" customFormat="false" ht="15" hidden="false" customHeight="false" outlineLevel="0" collapsed="false">
      <c r="O37" s="38" t="s">
        <v>35</v>
      </c>
    </row>
    <row r="38" customFormat="false" ht="15" hidden="false" customHeight="false" outlineLevel="0" collapsed="false">
      <c r="O38" s="38" t="s">
        <v>24</v>
      </c>
    </row>
    <row r="39" customFormat="false" ht="15" hidden="false" customHeight="false" outlineLevel="0" collapsed="false">
      <c r="O39" s="38" t="s">
        <v>29</v>
      </c>
    </row>
    <row r="40" customFormat="false" ht="15" hidden="false" customHeight="false" outlineLevel="0" collapsed="false">
      <c r="O40" s="38" t="s">
        <v>58</v>
      </c>
    </row>
    <row r="41" customFormat="false" ht="15" hidden="false" customHeight="false" outlineLevel="0" collapsed="false">
      <c r="O41" s="38" t="s">
        <v>59</v>
      </c>
    </row>
    <row r="43" customFormat="false" ht="15" hidden="false" customHeight="false" outlineLevel="0" collapsed="false">
      <c r="O43" s="39" t="s">
        <v>60</v>
      </c>
      <c r="P43" s="39"/>
      <c r="Q43" s="39"/>
    </row>
  </sheetData>
  <autoFilter ref="A5:M35"/>
  <mergeCells count="7">
    <mergeCell ref="A1:M1"/>
    <mergeCell ref="O1:Q1"/>
    <mergeCell ref="A2:M2"/>
    <mergeCell ref="A4:D4"/>
    <mergeCell ref="E4:K4"/>
    <mergeCell ref="O4:Q4"/>
    <mergeCell ref="O43:Q43"/>
  </mergeCells>
  <conditionalFormatting sqref="A6:D35">
    <cfRule type="cellIs" priority="2" operator="equal" aboveAverage="0" equalAverage="0" bottom="0" percent="0" rank="0" text="" dxfId="15">
      <formula>1</formula>
    </cfRule>
    <cfRule type="cellIs" priority="3" operator="equal" aboveAverage="0" equalAverage="0" bottom="0" percent="0" rank="0" text="" dxfId="16">
      <formula>2</formula>
    </cfRule>
    <cfRule type="cellIs" priority="4" operator="equal" aboveAverage="0" equalAverage="0" bottom="0" percent="0" rank="0" text="" dxfId="17">
      <formula>3</formula>
    </cfRule>
    <cfRule type="cellIs" priority="5" operator="equal" aboveAverage="0" equalAverage="0" bottom="0" percent="0" rank="0" text="" dxfId="18">
      <formula>0</formula>
    </cfRule>
  </conditionalFormatting>
  <conditionalFormatting sqref="L6:L35">
    <cfRule type="cellIs" priority="6" operator="equal" aboveAverage="0" equalAverage="0" bottom="0" percent="0" rank="0" text="" dxfId="19">
      <formula>1</formula>
    </cfRule>
    <cfRule type="cellIs" priority="7" operator="equal" aboveAverage="0" equalAverage="0" bottom="0" percent="0" rank="0" text="" dxfId="20">
      <formula>2</formula>
    </cfRule>
    <cfRule type="cellIs" priority="8" operator="equal" aboveAverage="0" equalAverage="0" bottom="0" percent="0" rank="0" text="" dxfId="21">
      <formula>3</formula>
    </cfRule>
    <cfRule type="cellIs" priority="9" operator="equal" aboveAverage="0" equalAverage="0" bottom="0" percent="0" rank="0" text="" dxfId="22">
      <formula>0</formula>
    </cfRule>
  </conditionalFormatting>
  <conditionalFormatting sqref="F6:G35">
    <cfRule type="cellIs" priority="10" operator="equal" aboveAverage="0" equalAverage="0" bottom="0" percent="0" rank="0" text="" dxfId="23">
      <formula>"V"</formula>
    </cfRule>
  </conditionalFormatting>
  <conditionalFormatting sqref="J6:J35">
    <cfRule type="expression" priority="11" aboveAverage="0" equalAverage="0" bottom="0" percent="0" rank="0" text="" dxfId="24">
      <formula>AND(J6&lt;&gt;"",J6&gt;=$P$17)</formula>
    </cfRule>
    <cfRule type="expression" priority="12" aboveAverage="0" equalAverage="0" bottom="0" percent="0" rank="0" text="" dxfId="25">
      <formula>AND(J6&lt;&gt;"",J6&lt;$P$17,J6&gt;=$P$18)</formula>
    </cfRule>
    <cfRule type="expression" priority="13" aboveAverage="0" equalAverage="0" bottom="0" percent="0" rank="0" text="" dxfId="26">
      <formula>AND(J6&lt;&gt;"",J6&lt;$P$18)</formula>
    </cfRule>
  </conditionalFormatting>
  <dataValidations count="6">
    <dataValidation allowBlank="true" error="Kies 'V' of laat leeg." errorStyle="stop" errorTitle="Ongeldige invoer" operator="between" showDropDown="false" showErrorMessage="false" showInputMessage="false" sqref="G6:G35" type="list">
      <formula1>"V"</formula1>
      <formula2>0</formula2>
    </dataValidation>
    <dataValidation allowBlank="true" errorStyle="stop" operator="between" showDropDown="false" showErrorMessage="false" showInputMessage="false" sqref="H6:H35" type="list">
      <formula1>$O$26:$O$27</formula1>
      <formula2>0</formula2>
    </dataValidation>
    <dataValidation allowBlank="true" errorStyle="stop" operator="between" showDropDown="false" showErrorMessage="false" showInputMessage="false" sqref="I6:I35" type="list">
      <formula1>$O$31:$O$34</formula1>
      <formula2>0</formula2>
    </dataValidation>
    <dataValidation allowBlank="true" error="Voer een percentage tussen 0% en 100% in (bijv. 58%)." errorStyle="stop" errorTitle="Ongeldig percentage" operator="between" showDropDown="false" showErrorMessage="false" showInputMessage="false" sqref="J6:J35" type="decimal">
      <formula1>0</formula1>
      <formula2>1</formula2>
    </dataValidation>
    <dataValidation allowBlank="true" errorStyle="stop" operator="between" showDropDown="false" showErrorMessage="false" showInputMessage="false" sqref="K6:K35" type="list">
      <formula1>$O$37:$O$41</formula1>
      <formula2>0</formula2>
    </dataValidation>
    <dataValidation allowBlank="false" errorStyle="stop" operator="between" showDropDown="false" showErrorMessage="false" showInputMessage="false" sqref="P26:P27 P31:P34" type="list">
      <formula1>$O$12:$O$14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B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22.05" hidden="false" customHeight="false" outlineLevel="0" collapsed="false">
      <c r="B1" s="40" t="s">
        <v>61</v>
      </c>
    </row>
    <row r="2" customFormat="false" ht="15" hidden="false" customHeight="false" outlineLevel="0" collapsed="false">
      <c r="B2" s="41" t="s">
        <v>62</v>
      </c>
    </row>
    <row r="4" customFormat="false" ht="21.75" hidden="false" customHeight="true" outlineLevel="0" collapsed="false">
      <c r="B4" s="42" t="s">
        <v>63</v>
      </c>
      <c r="C4" s="42" t="s">
        <v>64</v>
      </c>
      <c r="D4" s="42" t="s">
        <v>65</v>
      </c>
    </row>
    <row r="5" customFormat="false" ht="21.75" hidden="false" customHeight="true" outlineLevel="0" collapsed="false">
      <c r="B5" s="43" t="s">
        <v>66</v>
      </c>
      <c r="C5" s="44" t="n">
        <v>3</v>
      </c>
      <c r="D5" s="36" t="s">
        <v>67</v>
      </c>
    </row>
    <row r="6" customFormat="false" ht="21.75" hidden="false" customHeight="true" outlineLevel="0" collapsed="false">
      <c r="B6" s="43"/>
      <c r="C6" s="45" t="n">
        <v>2</v>
      </c>
      <c r="D6" s="36" t="s">
        <v>68</v>
      </c>
    </row>
    <row r="7" customFormat="false" ht="21.75" hidden="false" customHeight="true" outlineLevel="0" collapsed="false">
      <c r="B7" s="43"/>
      <c r="C7" s="46" t="n">
        <v>1</v>
      </c>
      <c r="D7" s="36" t="s">
        <v>69</v>
      </c>
    </row>
    <row r="8" customFormat="false" ht="21.75" hidden="false" customHeight="true" outlineLevel="0" collapsed="false">
      <c r="B8" s="43" t="s">
        <v>70</v>
      </c>
      <c r="C8" s="44" t="n">
        <v>3</v>
      </c>
      <c r="D8" s="36" t="s">
        <v>71</v>
      </c>
    </row>
    <row r="9" customFormat="false" ht="21.75" hidden="false" customHeight="true" outlineLevel="0" collapsed="false">
      <c r="B9" s="43"/>
      <c r="C9" s="46" t="n">
        <v>1</v>
      </c>
      <c r="D9" s="36" t="s">
        <v>72</v>
      </c>
    </row>
    <row r="10" customFormat="false" ht="21.75" hidden="false" customHeight="true" outlineLevel="0" collapsed="false">
      <c r="B10" s="43" t="s">
        <v>73</v>
      </c>
      <c r="C10" s="44" t="n">
        <v>3</v>
      </c>
      <c r="D10" s="36" t="s">
        <v>74</v>
      </c>
    </row>
    <row r="11" customFormat="false" ht="21.75" hidden="false" customHeight="true" outlineLevel="0" collapsed="false">
      <c r="B11" s="43"/>
      <c r="C11" s="46" t="n">
        <v>1</v>
      </c>
      <c r="D11" s="36" t="s">
        <v>75</v>
      </c>
    </row>
    <row r="12" customFormat="false" ht="21.75" hidden="false" customHeight="true" outlineLevel="0" collapsed="false">
      <c r="B12" s="43" t="s">
        <v>76</v>
      </c>
      <c r="C12" s="44" t="n">
        <v>3</v>
      </c>
      <c r="D12" s="36" t="s">
        <v>77</v>
      </c>
    </row>
    <row r="13" customFormat="false" ht="21.75" hidden="false" customHeight="true" outlineLevel="0" collapsed="false">
      <c r="B13" s="43"/>
      <c r="C13" s="45" t="n">
        <v>2</v>
      </c>
      <c r="D13" s="36" t="s">
        <v>78</v>
      </c>
    </row>
    <row r="14" customFormat="false" ht="21.75" hidden="false" customHeight="true" outlineLevel="0" collapsed="false">
      <c r="B14" s="43"/>
      <c r="C14" s="46" t="n">
        <v>1</v>
      </c>
      <c r="D14" s="36" t="s">
        <v>79</v>
      </c>
    </row>
    <row r="15" customFormat="false" ht="21.75" hidden="false" customHeight="true" outlineLevel="0" collapsed="false">
      <c r="B15" s="43" t="s">
        <v>80</v>
      </c>
      <c r="C15" s="46" t="n">
        <v>1</v>
      </c>
      <c r="D15" s="36" t="s">
        <v>81</v>
      </c>
    </row>
    <row r="18" customFormat="false" ht="15" hidden="false" customHeight="false" outlineLevel="0" collapsed="false">
      <c r="B18" s="47" t="s">
        <v>82</v>
      </c>
    </row>
    <row r="19" customFormat="false" ht="19.5" hidden="false" customHeight="true" outlineLevel="0" collapsed="false">
      <c r="B19" s="48" t="s">
        <v>83</v>
      </c>
      <c r="C19" s="48"/>
      <c r="D19" s="48"/>
    </row>
    <row r="20" customFormat="false" ht="19.5" hidden="false" customHeight="true" outlineLevel="0" collapsed="false">
      <c r="B20" s="48" t="s">
        <v>84</v>
      </c>
      <c r="C20" s="48"/>
      <c r="D20" s="48"/>
    </row>
    <row r="21" customFormat="false" ht="19.5" hidden="false" customHeight="true" outlineLevel="0" collapsed="false">
      <c r="B21" s="48" t="s">
        <v>85</v>
      </c>
      <c r="C21" s="48"/>
      <c r="D21" s="48"/>
    </row>
    <row r="22" customFormat="false" ht="19.5" hidden="false" customHeight="true" outlineLevel="0" collapsed="false">
      <c r="B22" s="48" t="s">
        <v>86</v>
      </c>
      <c r="C22" s="48"/>
      <c r="D22" s="48"/>
    </row>
    <row r="23" customFormat="false" ht="19.5" hidden="false" customHeight="true" outlineLevel="0" collapsed="false">
      <c r="B23" s="48" t="s">
        <v>87</v>
      </c>
      <c r="C23" s="48"/>
      <c r="D23" s="48"/>
    </row>
    <row r="24" customFormat="false" ht="19.5" hidden="false" customHeight="true" outlineLevel="0" collapsed="false">
      <c r="B24" s="48" t="s">
        <v>88</v>
      </c>
      <c r="C24" s="48"/>
      <c r="D24" s="48"/>
    </row>
    <row r="25" customFormat="false" ht="19.5" hidden="false" customHeight="true" outlineLevel="0" collapsed="false">
      <c r="B25" s="48" t="s">
        <v>89</v>
      </c>
      <c r="C25" s="48"/>
      <c r="D25" s="48"/>
    </row>
    <row r="27" customFormat="false" ht="30" hidden="false" customHeight="true" outlineLevel="0" collapsed="false">
      <c r="B27" s="49" t="s">
        <v>90</v>
      </c>
      <c r="C27" s="49"/>
      <c r="D27" s="49"/>
    </row>
  </sheetData>
  <mergeCells count="8">
    <mergeCell ref="B19:D19"/>
    <mergeCell ref="B20:D20"/>
    <mergeCell ref="B21:D21"/>
    <mergeCell ref="B22:D22"/>
    <mergeCell ref="B23:D23"/>
    <mergeCell ref="B24:D24"/>
    <mergeCell ref="B25:D25"/>
    <mergeCell ref="B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2026-10-16T08:56:15Z</dcterms:created>
  <dc:creator>openpyxl</dc:creator>
  <dc:description/>
  <dc:language>en-US</dc:language>
  <cp:lastModifiedBy/>
  <dcterms:modified xsi:type="dcterms:W3CDTF">2026-10-16T08:56:15Z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